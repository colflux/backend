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defaultThemeVersion="166925"/>
  <mc:AlternateContent xmlns:mc="http://schemas.openxmlformats.org/markup-compatibility/2006">
    <mc:Choice Requires="x15">
      <x15ac:absPath xmlns:x15ac="http://schemas.microsoft.com/office/spreadsheetml/2010/11/ac" url="D:\working\waccache\BN3PEPF0000C54D\EXCELCNV\5d636529-ad54-4476-8dd4-a871e61e2e45\"/>
    </mc:Choice>
  </mc:AlternateContent>
  <xr:revisionPtr revIDLastSave="1317" documentId="8_{F4E08DD7-67D1-4468-BF18-D952C39E1F7D}" xr6:coauthVersionLast="47" xr6:coauthVersionMax="47" xr10:uidLastSave="{F49C4138-BACB-46A2-A979-6CD0AE885BE4}"/>
  <bookViews>
    <workbookView xWindow="-60" yWindow="-60" windowWidth="15480" windowHeight="11640" xr2:uid="{524824C8-C290-4E86-BFE6-D268A51D00B5}"/>
  </bookViews>
  <sheets>
    <sheet name="Documentos2025_1" sheetId="2" r:id="rId1"/>
    <sheet name="Hoja1" sheetId="1" r:id="rId2"/>
    <sheet name="Lista de vocabulario" sheetId="4" r:id="rId3"/>
  </sheets>
  <definedNames>
    <definedName name="DatosExternos_1" localSheetId="0" hidden="1">Documentos2025_1!$A$1:$W$54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3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MARTIN OTALORA LOW</author>
  </authors>
  <commentList>
    <comment ref="AE1" authorId="0" shapeId="0" xr:uid="{C1DFFB8A-56A3-4410-83DB-4A4D180883F4}">
      <text>
        <r>
          <rPr>
            <b/>
            <sz val="9"/>
            <color indexed="81"/>
            <rFont val="Tahoma"/>
            <charset val="1"/>
          </rPr>
          <t>MARTIN OTALORA LOW:</t>
        </r>
        <r>
          <rPr>
            <sz val="9"/>
            <color indexed="81"/>
            <rFont val="Tahoma"/>
            <charset val="1"/>
          </rPr>
          <t xml:space="preserve">
Ni idea 
</t>
        </r>
      </text>
    </comment>
    <comment ref="AY1" authorId="0" shapeId="0" xr:uid="{32C9C4FA-2CBD-4B9E-B104-718B383A5F3A}">
      <text>
        <r>
          <rPr>
            <b/>
            <sz val="9"/>
            <color indexed="81"/>
            <rFont val="Tahoma"/>
            <charset val="1"/>
          </rPr>
          <t>MARTIN OTALORA LOW:</t>
        </r>
        <r>
          <rPr>
            <sz val="9"/>
            <color indexed="81"/>
            <rFont val="Tahoma"/>
            <charset val="1"/>
          </rPr>
          <t xml:space="preserve">
Ni idea</t>
        </r>
      </text>
    </comment>
    <comment ref="AK2" authorId="0" shapeId="0" xr:uid="{9069E945-26C6-4A36-8985-538AB7C8BB53}">
      <text>
        <r>
          <rPr>
            <b/>
            <sz val="9"/>
            <color indexed="81"/>
            <rFont val="Tahoma"/>
            <charset val="1"/>
          </rPr>
          <t>MARTIN OTALORA LOW:</t>
        </r>
        <r>
          <rPr>
            <sz val="9"/>
            <color indexed="81"/>
            <rFont val="Tahoma"/>
            <charset val="1"/>
          </rPr>
          <t xml:space="preserve">
Turbera
</t>
        </r>
      </text>
    </comment>
    <comment ref="AN2" authorId="0" shapeId="0" xr:uid="{E5BCFB4E-3D9D-47B0-AD84-1C936695E672}">
      <text>
        <r>
          <rPr>
            <b/>
            <sz val="9"/>
            <color indexed="81"/>
            <rFont val="Tahoma"/>
            <charset val="1"/>
          </rPr>
          <t>MARTIN OTALORA LOW:</t>
        </r>
        <r>
          <rPr>
            <sz val="9"/>
            <color indexed="81"/>
            <rFont val="Tahoma"/>
            <charset val="1"/>
          </rPr>
          <t xml:space="preserve">
especially the wetlands area covered by vegetation and the decomposing material (necromass) accumulated in the soil in the form of plant litter and roots.</t>
        </r>
      </text>
    </comment>
    <comment ref="AS2" authorId="0" shapeId="0" xr:uid="{06FC3439-AA50-4882-9661-176335DA7F5D}">
      <text>
        <r>
          <rPr>
            <b/>
            <sz val="9"/>
            <color indexed="81"/>
            <rFont val="Tahoma"/>
            <charset val="1"/>
          </rPr>
          <t>MARTIN OTALORA LOW:</t>
        </r>
        <r>
          <rPr>
            <sz val="9"/>
            <color indexed="81"/>
            <rFont val="Tahoma"/>
            <charset val="1"/>
          </rPr>
          <t xml:space="preserve">
Uso PNN, no sabria que poner aca
</t>
        </r>
      </text>
    </comment>
    <comment ref="BB2" authorId="0" shapeId="0" xr:uid="{C68289C4-3276-4625-9F11-AF6CC1701714}">
      <text>
        <r>
          <rPr>
            <b/>
            <sz val="9"/>
            <color indexed="81"/>
            <rFont val="Tahoma"/>
            <charset val="1"/>
          </rPr>
          <t>MARTIN OTALORA LOW:</t>
        </r>
        <r>
          <rPr>
            <sz val="9"/>
            <color indexed="81"/>
            <rFont val="Tahoma"/>
            <charset val="1"/>
          </rPr>
          <t xml:space="preserve">
especially the wetlands area covered by vegetation and
the decomposing material (necromass) accumulated in the soil in the form of plant litter
and roots.</t>
        </r>
      </text>
    </comment>
    <comment ref="BE2" authorId="0" shapeId="0" xr:uid="{50173E93-411E-49CE-881D-6CF94FC5D549}">
      <text>
        <r>
          <rPr>
            <b/>
            <sz val="9"/>
            <color indexed="81"/>
            <rFont val="Tahoma"/>
            <charset val="1"/>
          </rPr>
          <t>MARTIN OTALORA LOW:</t>
        </r>
        <r>
          <rPr>
            <sz val="9"/>
            <color indexed="81"/>
            <rFont val="Tahoma"/>
            <charset val="1"/>
          </rPr>
          <t xml:space="preserve">
the plant biomass reaches sequestration levels of 7-15 t of carbon ha-1</t>
        </r>
      </text>
    </comment>
    <comment ref="BK2" authorId="0" shapeId="0" xr:uid="{93A26D8A-8208-4C36-B84B-09305838D05C}">
      <text>
        <r>
          <rPr>
            <b/>
            <sz val="9"/>
            <color indexed="81"/>
            <rFont val="Tahoma"/>
            <charset val="1"/>
          </rPr>
          <t>MARTIN OTALORA LOW:</t>
        </r>
        <r>
          <rPr>
            <sz val="9"/>
            <color indexed="81"/>
            <rFont val="Tahoma"/>
            <charset val="1"/>
          </rPr>
          <t xml:space="preserve">
Es bajo agua: For the Claro
River lagoon the concentrations of carbon in plant biomass were higher in the merging plants (0.0925 kg/m2) than in those that were submerged (0.015 kg/m2).</t>
        </r>
      </text>
    </comment>
    <comment ref="BS2" authorId="0" shapeId="0" xr:uid="{5268EC70-5D3B-426A-BF0A-D125F2C8A925}">
      <text>
        <r>
          <rPr>
            <sz val="11"/>
            <color theme="1"/>
            <rFont val="Calibri"/>
            <family val="2"/>
            <scheme val="minor"/>
          </rPr>
          <t>MARTIN OTALORA LOW:
The total organic carbon in the systems concentrated in a range between
329 kg of N ha-1 and 125 kg of P ha-1 every year vs only 17 kg N ha-1 and 6 kg P ha-1</t>
        </r>
      </text>
    </comment>
    <comment ref="Z3" authorId="0" shapeId="0" xr:uid="{A739B595-75F5-44AF-A8A6-371AD883D80F}">
      <text>
        <r>
          <rPr>
            <sz val="11"/>
            <color theme="1"/>
            <rFont val="Calibri"/>
            <family val="2"/>
            <scheme val="minor"/>
          </rPr>
          <t xml:space="preserve">MARTIN OTALORA LOW:
Estudio hecho en venezuela
</t>
        </r>
      </text>
    </comment>
    <comment ref="AA3" authorId="0" shapeId="0" xr:uid="{D610BFD7-A4D9-4D7E-9D1E-626050AB00AA}">
      <text>
        <r>
          <rPr>
            <sz val="11"/>
            <color theme="1"/>
            <rFont val="Calibri"/>
            <family val="2"/>
            <scheme val="minor"/>
          </rPr>
          <t xml:space="preserve">MARTIN OTALORA LOW:
Casi todo venezuela
</t>
        </r>
      </text>
    </comment>
    <comment ref="AI3" authorId="0" shapeId="0" xr:uid="{483C6ECA-1CBE-4FB0-B3BE-AF1D159F692E}">
      <text>
        <r>
          <rPr>
            <sz val="11"/>
            <color theme="1"/>
            <rFont val="Calibri"/>
            <family val="2"/>
            <scheme val="minor"/>
          </rPr>
          <t>MARTIN OTALORA LOW:
water-land palm ecotones (morichals) of
the Orinoco lowlands to increase comprehension of
their potential for accumulating global carbon.</t>
        </r>
      </text>
    </comment>
    <comment ref="AK3" authorId="0" shapeId="0" xr:uid="{BA0513DC-F639-4DD4-837E-0F60696DA596}">
      <text>
        <r>
          <rPr>
            <sz val="11"/>
            <color theme="1"/>
            <rFont val="Calibri"/>
            <family val="2"/>
            <scheme val="minor"/>
          </rPr>
          <t>MARTIN OTALORA LOW:
3.1.1.1.2.3. Palmares: Los morichales son comunidades caracterizadas por la dominancia de palma moriche (Mauritia flexuosa L.f.),</t>
        </r>
      </text>
    </comment>
    <comment ref="AL3" authorId="0" shapeId="0" xr:uid="{CD32EDAB-7210-45C8-BD66-277684610078}">
      <text>
        <r>
          <rPr>
            <sz val="11"/>
            <color theme="1"/>
            <rFont val="Calibri"/>
            <family val="2"/>
            <scheme val="minor"/>
          </rPr>
          <t>MARTIN OTALORA LOW:
Podria ser pastizal</t>
        </r>
      </text>
    </comment>
    <comment ref="AX3" authorId="0" shapeId="0" xr:uid="{E63445CF-568D-4B4B-A1FD-8E933CFB611C}">
      <text>
        <r>
          <rPr>
            <sz val="11"/>
            <color theme="1"/>
            <rFont val="Calibri"/>
            <family val="2"/>
            <scheme val="minor"/>
          </rPr>
          <t xml:space="preserve">MARTIN OTALORA LOW:
10 en 2 localidades
</t>
        </r>
      </text>
    </comment>
    <comment ref="BC3" authorId="0" shapeId="0" xr:uid="{3112E6BF-18B8-4129-A5FC-EF76F314E1D3}">
      <text>
        <r>
          <rPr>
            <sz val="11"/>
            <color theme="1"/>
            <rFont val="Calibri"/>
            <family val="2"/>
            <scheme val="minor"/>
          </rPr>
          <t>MARTIN OTALORA LOW:
The carbon
density in the dry mass of the vegetation was
calculated using the proportion of carbon in woody
and herbaceous vegetations (i.e. 43%)</t>
        </r>
      </text>
    </comment>
    <comment ref="BD3" authorId="0" shapeId="0" xr:uid="{0F0BC65A-A12B-4536-A761-4237E3067ADA}">
      <text>
        <r>
          <rPr>
            <sz val="11"/>
            <color theme="1"/>
            <rFont val="Calibri"/>
            <family val="2"/>
            <scheme val="minor"/>
          </rPr>
          <t>MARTIN OTALORA LOW:
The ecosystem total carbon
content of the ﬂat-ﬂoored (i.e. localities 1 and 2) and
V-shaped valley type was 1,925–3,891 and 15,770 g
Cm-2, respectively.</t>
        </r>
      </text>
    </comment>
    <comment ref="BK3" authorId="0" shapeId="0" xr:uid="{F4845890-1F84-4232-B128-6039257334CF}">
      <text>
        <r>
          <rPr>
            <sz val="11"/>
            <color theme="1"/>
            <rFont val="Calibri"/>
            <family val="2"/>
            <scheme val="minor"/>
          </rPr>
          <t>MARTIN OTALORA LOW:
The below-ground carbon content in the analyzed
valleys with both herbaceous and woody life-forms
(i.e. the ﬂoodplain of the ﬂat-ﬂoored valley type/
locality 2 and V-shaped valley type) (1,380 and
2,401 g C m-2, respectively)</t>
        </r>
      </text>
    </comment>
    <comment ref="BS3" authorId="0" shapeId="0" xr:uid="{E97013C4-7850-4CFF-81A2-624C85FEC9CE}">
      <text>
        <r>
          <rPr>
            <sz val="11"/>
            <color theme="1"/>
            <rFont val="Calibri"/>
            <family val="2"/>
            <scheme val="minor"/>
          </rPr>
          <t>MARTIN OTALORA LOW:
These conditions in
the ﬂat-ﬂoored valley type led to the development of
layer storing from 1,298 to 1,857 g C m-2. In the
V-shaped valley type, the amount ranged from 173 to
1,099 g C m-2.</t>
        </r>
      </text>
    </comment>
    <comment ref="CQ3" authorId="0" shapeId="0" xr:uid="{7D29089A-9E2C-4DDB-8270-AB6BE58F5FA8}">
      <text>
        <r>
          <rPr>
            <sz val="11"/>
            <color theme="1"/>
            <rFont val="Calibri"/>
            <family val="2"/>
            <scheme val="minor"/>
          </rPr>
          <t>MARTIN OTALORA LOW:
For the above-ground material, 240 sub-
samples of 50 g were randomly taken at the
beginning of the growing season and enclosed in
nylon bags of 2 mm mesh.</t>
        </r>
      </text>
    </comment>
    <comment ref="E4" authorId="0" shapeId="0" xr:uid="{450DBC2F-2268-4E67-83DB-D1986AD069D9}">
      <text>
        <r>
          <rPr>
            <sz val="11"/>
            <color theme="1"/>
            <rFont val="Calibri"/>
            <family val="2"/>
            <scheme val="minor"/>
          </rPr>
          <t xml:space="preserve">MARTIN OTALORA LOW:
Los resultados de este articulo con caben en ninguna categoria actual. </t>
        </r>
      </text>
    </comment>
    <comment ref="F4" authorId="0" shapeId="0" xr:uid="{1D5A1535-7A2D-473A-88A0-36CBD81F0AB3}">
      <text>
        <r>
          <rPr>
            <sz val="11"/>
            <color theme="1"/>
            <rFont val="Calibri"/>
            <family val="2"/>
            <scheme val="minor"/>
          </rPr>
          <t>MARTIN OTALORA LOW:
Los resultados no estan por ha ni m2. The calculated net emissions of the region for 2007 are 13.91Tg. Emision de carbono pagina 395</t>
        </r>
      </text>
    </comment>
    <comment ref="X4" authorId="0" shapeId="0" xr:uid="{CE7C1E93-B5D9-4FB5-858C-EEDF449A657E}">
      <text>
        <r>
          <rPr>
            <sz val="11"/>
            <color theme="1"/>
            <rFont val="Calibri"/>
            <family val="2"/>
            <scheme val="minor"/>
          </rPr>
          <t>MARTIN OTALORA LOW:
The
accuracy of the 2000 and 2007 classified maps was checked with aerial photos
and fieldwork by a stratified Â�random sampling method distributed
among small (369), medium (371), and large (351) polygons.</t>
        </r>
      </text>
    </comment>
    <comment ref="AI4" authorId="0" shapeId="0" xr:uid="{2BEAEB48-3B85-49EC-96F8-9123E4BEC66E}">
      <text>
        <r>
          <rPr>
            <sz val="11"/>
            <color theme="1"/>
            <rFont val="Calibri"/>
            <family val="2"/>
            <scheme val="minor"/>
          </rPr>
          <t>MARTIN OTALORA LOW:
savanna grassland ecosystems</t>
        </r>
      </text>
    </comment>
    <comment ref="AK4" authorId="0" shapeId="0" xr:uid="{D4499396-1390-4655-9E1A-433DBCDED0B3}">
      <text>
        <r>
          <rPr>
            <sz val="11"/>
            <color theme="1"/>
            <rFont val="Calibri"/>
            <family val="2"/>
            <scheme val="minor"/>
          </rPr>
          <t xml:space="preserve">MARTIN OTALORA LOW:
Es que mas se Asemeja a grassland, pero inseguro </t>
        </r>
      </text>
    </comment>
    <comment ref="AN4" authorId="0" shapeId="0" xr:uid="{757BFBAE-7FF5-41CF-8CA5-FF3D7128EA8D}">
      <text>
        <r>
          <rPr>
            <sz val="11"/>
            <color theme="1"/>
            <rFont val="Calibri"/>
            <family val="2"/>
            <scheme val="minor"/>
          </rPr>
          <t>MARTIN OTALORA LOW:
These savannas are mostly chemically poor
pedobiomes (sensu Walter, 1973), where Ultisol and Oxisol soil types predominate</t>
        </r>
      </text>
    </comment>
    <comment ref="AQ4" authorId="0" shapeId="0" xr:uid="{C36D1E3F-0ED5-4BD8-BB47-FCC1175405F7}">
      <text>
        <r>
          <rPr>
            <sz val="11"/>
            <color theme="1"/>
            <rFont val="Calibri"/>
            <family val="2"/>
            <scheme val="minor"/>
          </rPr>
          <t>MARTIN OTALORA LOW:
The savanna clearing process began in the early 1970s, the reason for which
the year 1970 was used as the pre-clearing reference in the region.</t>
        </r>
      </text>
    </comment>
    <comment ref="AU4" authorId="0" shapeId="0" xr:uid="{5AE2E191-014E-4AD0-A0C4-9CC0AA7ED877}">
      <text>
        <r>
          <rPr>
            <sz val="11"/>
            <color theme="1"/>
            <rFont val="Calibri"/>
            <family val="2"/>
            <scheme val="minor"/>
          </rPr>
          <t>MARTIN OTALORA LOW:
data sources including remote
sensing and GIS tools was used for three main purposes</t>
        </r>
      </text>
    </comment>
    <comment ref="AX4" authorId="0" shapeId="0" xr:uid="{DA9AB3DE-D8E1-4E47-94C9-C6BE8533EDFD}">
      <text>
        <r>
          <rPr>
            <sz val="11"/>
            <color theme="1"/>
            <rFont val="Calibri"/>
            <family val="2"/>
            <scheme val="minor"/>
          </rPr>
          <t>MARTIN OTALORA LOW:
No se indican la cantidad de pixeles en la imagen</t>
        </r>
      </text>
    </comment>
    <comment ref="CR4" authorId="0" shapeId="0" xr:uid="{11296622-1678-4B56-9258-10FC09682F3B}">
      <text>
        <r>
          <rPr>
            <sz val="11"/>
            <color theme="1"/>
            <rFont val="Calibri"/>
            <family val="2"/>
            <scheme val="minor"/>
          </rPr>
          <t>MARTIN OTALORA LOW:
. The expansion of agricultural land uses up until 2007 increased the
overall net carbon emissions by 21.5% with reference to 1970 (approximate
preclearing), representing some 2.46 Tg yr−1 CO2e. The projected expansion
from 2007 to 2020 is expected to add an additional 1.16 Tg yr−1 CO2e, meaning
an overall increase of 31.5% from the 1970 baseline</t>
        </r>
      </text>
    </comment>
    <comment ref="BJ5" authorId="0" shapeId="0" xr:uid="{514E2BF9-379D-485B-8303-93C64EE44C43}">
      <text>
        <r>
          <rPr>
            <sz val="11"/>
            <color theme="1"/>
            <rFont val="Calibri"/>
            <family val="2"/>
            <scheme val="minor"/>
          </rPr>
          <t>MARTIN OTALORA LOW:
El articulo de las ecuaciones con las que calcula la biomasa subterranea pero no indica el resultado |</t>
        </r>
      </text>
    </comment>
    <comment ref="AO6" authorId="0" shapeId="0" xr:uid="{BA5E38C2-2EFE-4F59-A6B5-53E1D4452CEE}">
      <text>
        <r>
          <rPr>
            <sz val="11"/>
            <color theme="1"/>
            <rFont val="Calibri"/>
            <family val="2"/>
            <scheme val="minor"/>
          </rPr>
          <t>MARTIN OTALORA LOW:
Usan 3 tipos de estado
a) No intervenido, b)
En Recuperación y c) Intervenido</t>
        </r>
      </text>
    </comment>
    <comment ref="AT6" authorId="0" shapeId="0" xr:uid="{E4BAFF61-E936-400A-9F49-0D12D684C441}">
      <text>
        <r>
          <rPr>
            <sz val="11"/>
            <color theme="1"/>
            <rFont val="Calibri"/>
            <family val="2"/>
            <scheme val="minor"/>
          </rPr>
          <t>MARTIN OTALORA LOW:
forma aleatoria simple</t>
        </r>
      </text>
    </comment>
    <comment ref="AY6" authorId="0" shapeId="0" xr:uid="{17FB8C49-100F-45EC-834B-76090BBF1042}">
      <text>
        <r>
          <rPr>
            <sz val="11"/>
            <color theme="1"/>
            <rFont val="Calibri"/>
            <family val="2"/>
            <scheme val="minor"/>
          </rPr>
          <t xml:space="preserve">MARTIN OTALORA LOW:
Carbono organico y densidad aparente
</t>
        </r>
      </text>
    </comment>
    <comment ref="BB6" authorId="0" shapeId="0" xr:uid="{14B1515F-3C35-4AA1-B54B-63A7723EBE23}">
      <text>
        <r>
          <rPr>
            <sz val="11"/>
            <color theme="1"/>
            <rFont val="Calibri"/>
            <family val="2"/>
            <scheme val="minor"/>
          </rPr>
          <t xml:space="preserve">MARTIN OTALORA LOW:
Valor frag establecido 0.01
</t>
        </r>
      </text>
    </comment>
    <comment ref="BY6" authorId="0" shapeId="0" xr:uid="{AD8641F0-5BD7-4454-8742-C1522333AFD3}">
      <text>
        <r>
          <rPr>
            <sz val="11"/>
            <color theme="1"/>
            <rFont val="Calibri"/>
            <family val="2"/>
            <scheme val="minor"/>
          </rPr>
          <t>MARTIN OTALORA LOW:
Revisar metodo</t>
        </r>
      </text>
    </comment>
    <comment ref="AN7" authorId="0" shapeId="0" xr:uid="{A352B5D3-D30C-4723-85BE-DD272AADDE18}">
      <text>
        <r>
          <rPr>
            <sz val="11"/>
            <color theme="1"/>
            <rFont val="Calibri"/>
            <family val="2"/>
            <scheme val="minor"/>
          </rPr>
          <t>MARTIN OTALORA LOW:
The evaluations were conducted in wetlands with soil of
the Inceptisol order, young soils, Cryaquents and Dystro-
cryepts, for paramos and wetlands of the Andisol order, of
recent volcanic activity, Humitropepts and Andaquepts. Soil
sampling was performed more accurately considering its
anisotropy to differentiate the variability of the horizons
in each profile.</t>
        </r>
      </text>
    </comment>
    <comment ref="AY7" authorId="0" shapeId="0" xr:uid="{1615CCFF-3681-431C-A06C-D2D214AADA17}">
      <text>
        <r>
          <rPr>
            <sz val="11"/>
            <color theme="1"/>
            <rFont val="Calibri"/>
            <family val="2"/>
            <scheme val="minor"/>
          </rPr>
          <t xml:space="preserve">MARTIN OTALORA LOW:
Carbono organico y densidad aparente
</t>
        </r>
      </text>
    </comment>
    <comment ref="BR7" authorId="0" shapeId="0" xr:uid="{160CACCE-B620-4C4F-AF8D-CFC4F88DEFA8}">
      <text>
        <r>
          <rPr>
            <sz val="11"/>
            <color theme="1"/>
            <rFont val="Calibri"/>
            <family val="2"/>
            <scheme val="minor"/>
          </rPr>
          <t>MARTIN OTALORA LOW:
REVISAR, NO ESTOY SEGURO COMO COLOCAR ESTA INFO</t>
        </r>
      </text>
    </comment>
    <comment ref="F8" authorId="0" shapeId="0" xr:uid="{AD8A7007-FE28-45A8-A3C9-BAF7B10890A7}">
      <text>
        <r>
          <rPr>
            <sz val="11"/>
            <color theme="1"/>
            <rFont val="Calibri"/>
            <family val="2"/>
            <scheme val="minor"/>
          </rPr>
          <t>MARTIN OTALORA LOW:
Inseguro de si represente bien los resultados, revisar mas adelante</t>
        </r>
      </text>
    </comment>
    <comment ref="AN8" authorId="0" shapeId="0" xr:uid="{7D58D286-785E-4A81-ACA2-FF8921785691}">
      <text>
        <r>
          <rPr>
            <sz val="11"/>
            <color theme="1"/>
            <rFont val="Calibri"/>
            <family val="2"/>
            <scheme val="minor"/>
          </rPr>
          <t>MARTIN OTALORA LOW:
The soils in the study area are derived from
volcanic ashes, slags and vitreous pyroclastics
with a thick layer of organic matter little weathered,
which is typical of páramos. Experimental plots
were located in two cartographic units: MDBf
and MGCe (IGAC, 2004). The unit MDBf is
dominated by pyroclastics, andesite and the
metamorphic rocks (shale). This soil association
is composed by soils Lithic Cryorthentsen in a
60% and Rocky outcrops in 40% of area. These
soils have the following characteristics: a low
evolution shallow due to hard rock, high content
of organic matter, highly acid, high cationic
exchangeable capacity, poor in changeable
bases, low in available phosphorus and very low
fertility. Steep slopes (50-75%), low temperatures
and low soil effective depth are the main limiting
characteristics for use.
The unit MGCe has volcanic ashes as parental
material, which is deposited on andesite. Soils
of this consociation are represented by Typic
Haplundands in a 90% and inclusions of Humic
Udivitrands in a 10% of area. These soils are
characterized by high depth, with black color due
to accumulation of organic matter, medium to moderately gross textures, well-structured and
well-drained. These soils have a high cationic
exchangeable capacity, high phosphorus content
in top layers and moderate fertility. Slopes range
between 25 and 50% in the area.</t>
        </r>
      </text>
    </comment>
    <comment ref="AV8" authorId="0" shapeId="0" xr:uid="{2C6EDD69-5C86-4F71-9014-1B7D372D1BA8}">
      <text>
        <r>
          <rPr>
            <sz val="11"/>
            <color theme="1"/>
            <rFont val="Calibri"/>
            <family val="2"/>
            <scheme val="minor"/>
          </rPr>
          <t>MARTIN OTALORA LOW:
soil pit of 50 x 50 x 50 cm and estimating volume
of rocks by water displacement.</t>
        </r>
      </text>
    </comment>
    <comment ref="AN9" authorId="0" shapeId="0" xr:uid="{8D2300CB-EAFA-46E9-83A4-3BC88B887B04}">
      <text>
        <r>
          <rPr>
            <sz val="11"/>
            <color theme="1"/>
            <rFont val="Calibri"/>
            <family val="2"/>
            <scheme val="minor"/>
          </rPr>
          <t>MARTIN OTALORA LOW:
Soils are
mainly Oxisols with low fertility and high acidity and Al saturation</t>
        </r>
      </text>
    </comment>
    <comment ref="AN10" authorId="0" shapeId="0" xr:uid="{A52528AA-0A0B-4136-A40F-2C0D86CBD58D}">
      <text>
        <r>
          <rPr>
            <sz val="11"/>
            <color theme="1"/>
            <rFont val="Calibri"/>
            <family val="2"/>
            <scheme val="minor"/>
          </rPr>
          <t>MARTIN OTALORA LOW:
Humic Dystrustepts. Oxic Humustepts. Familia Arcillosa,
Isofrígida</t>
        </r>
      </text>
    </comment>
    <comment ref="AN13" authorId="0" shapeId="0" xr:uid="{AC275406-E498-4232-85FB-D3E0EAFB0049}">
      <text>
        <r>
          <rPr>
            <sz val="11"/>
            <color theme="1"/>
            <rFont val="Calibri"/>
            <family val="2"/>
            <scheme val="minor"/>
          </rPr>
          <t>MARTIN OTALORA LOW:
corresponden a la
Consociación compuesta por Lithic
Udorthents y Oxic Dystrudepts, a
afloramientos rocosos con pendien-
tes superiores al 50 %,</t>
        </r>
      </text>
    </comment>
    <comment ref="BW13" authorId="0" shapeId="0" xr:uid="{3ADF9E80-5BE8-4300-9361-EDAC848538C6}">
      <text>
        <r>
          <rPr>
            <sz val="11"/>
            <color theme="1"/>
            <rFont val="Calibri"/>
            <family val="2"/>
            <scheme val="minor"/>
          </rPr>
          <t>MARTIN OTALORA LOW:
de igual manera, para car-
bono orgánico, las cuales fueron
tomadas en forma de X,</t>
        </r>
      </text>
    </comment>
    <comment ref="F17" authorId="0" shapeId="0" xr:uid="{ACB4BB3B-D834-47C3-BF3C-22BE105CBF7E}">
      <text>
        <r>
          <rPr>
            <sz val="11"/>
            <color theme="1"/>
            <rFont val="Calibri"/>
            <family val="2"/>
            <scheme val="minor"/>
          </rPr>
          <t>MARTIN OTALORA LOW:
No se como poner este los resultados estan en secuestro de carbono en gigagramos por año</t>
        </r>
      </text>
    </comment>
    <comment ref="F18" authorId="0" shapeId="0" xr:uid="{3053DC4C-2F06-40D3-9FC0-7366C9D6FB97}">
      <text>
        <r>
          <rPr>
            <sz val="11"/>
            <color theme="1"/>
            <rFont val="Calibri"/>
            <family val="2"/>
            <scheme val="minor"/>
          </rPr>
          <t>MARTIN OTALORA LOW:
Este es una revision de literatura, aunque presenta resultados, el metodo fue investigacion y lectura. No muy seguro de si deberia ir. Hablar con el equipo</t>
        </r>
      </text>
    </comment>
    <comment ref="AF19" authorId="0" shapeId="0" xr:uid="{477EA6DB-C4F4-4777-93F7-A9C866E9771F}">
      <text>
        <r>
          <rPr>
            <sz val="11"/>
            <color theme="1"/>
            <rFont val="Calibri"/>
            <family val="2"/>
            <scheme val="minor"/>
          </rPr>
          <t>MARTIN OTALORA LOW:
Revisar esto esta mal</t>
        </r>
      </text>
    </comment>
    <comment ref="AK19" authorId="0" shapeId="0" xr:uid="{2C4B4F00-006A-4D86-8C07-953647F61333}">
      <text>
        <r>
          <rPr>
            <sz val="11"/>
            <color theme="1"/>
            <rFont val="Calibri"/>
            <family val="2"/>
            <scheme val="minor"/>
          </rPr>
          <t>MARTIN OTALORA LOW:
Revisar si debe haber</t>
        </r>
      </text>
    </comment>
    <comment ref="AN20" authorId="0" shapeId="0" xr:uid="{78702793-2CC4-4B05-9469-9607AF96D3D1}">
      <text>
        <r>
          <rPr>
            <sz val="11"/>
            <color theme="1"/>
            <rFont val="Calibri"/>
            <family val="2"/>
            <scheme val="minor"/>
          </rPr>
          <t>MARTIN OTALORA LOW:
Oxisoles y Ultisoles</t>
        </r>
      </text>
    </comment>
    <comment ref="AK21" authorId="0" shapeId="0" xr:uid="{AE5820EF-6350-459C-9CAA-6AF829C98362}">
      <text>
        <r>
          <rPr>
            <sz val="11"/>
            <color theme="1"/>
            <rFont val="Calibri"/>
            <family val="2"/>
            <scheme val="minor"/>
          </rPr>
          <t>MARTIN OTALORA LOW:
Zona pantanosa, parece ser lo que mas se aproxim</t>
        </r>
      </text>
    </comment>
    <comment ref="BT23" authorId="0" shapeId="0" xr:uid="{046A5171-F5BC-4402-AF56-0FE4949D792A}">
      <text>
        <r>
          <rPr>
            <sz val="11"/>
            <color theme="1"/>
            <rFont val="Calibri"/>
            <family val="2"/>
            <scheme val="minor"/>
          </rPr>
          <t xml:space="preserve">MARTIN OTALORA LOW:
Desv estand
</t>
        </r>
      </text>
    </comment>
    <comment ref="AO24" authorId="0" shapeId="0" xr:uid="{0B2DC31A-14B4-4B28-8D57-97D4925EFA7D}">
      <text>
        <r>
          <rPr>
            <sz val="11"/>
            <color theme="1"/>
            <rFont val="Calibri"/>
            <family val="2"/>
            <scheme val="minor"/>
          </rPr>
          <t>MARTIN OTALORA LOW:
Podria ser urbano</t>
        </r>
      </text>
    </comment>
    <comment ref="AK25" authorId="0" shapeId="0" xr:uid="{96BFAFF8-CCD2-4BF0-A2CA-A093166398BF}">
      <text>
        <r>
          <rPr>
            <sz val="11"/>
            <color theme="1"/>
            <rFont val="Calibri"/>
            <family val="2"/>
            <scheme val="minor"/>
          </rPr>
          <t>MARTIN OTALORA LOW:
Revisar</t>
        </r>
      </text>
    </comment>
    <comment ref="D26" authorId="0" shapeId="0" xr:uid="{99DFCC6A-5066-4752-BEAB-65D6859B42DC}">
      <text>
        <r>
          <rPr>
            <sz val="11"/>
            <color theme="1"/>
            <rFont val="Calibri"/>
            <family val="2"/>
            <scheme val="minor"/>
          </rPr>
          <t xml:space="preserve">MARTIN OTALORA LOW:
Necesario subdividir capitulos del libro
</t>
        </r>
      </text>
    </comment>
    <comment ref="BF26" authorId="0" shapeId="0" xr:uid="{416BCA28-7C23-4402-86A0-07477DE58F59}">
      <text>
        <r>
          <rPr>
            <sz val="11"/>
            <color theme="1"/>
            <rFont val="Calibri"/>
            <family val="2"/>
            <scheme val="minor"/>
          </rPr>
          <t>MARTIN OTALORA LOW:
Este es el error total, de biomasa aerea y subterranea</t>
        </r>
      </text>
    </comment>
    <comment ref="AN28" authorId="0" shapeId="0" xr:uid="{F9E6B542-8842-479C-AA9D-A70178AEF3B1}">
      <text>
        <r>
          <rPr>
            <sz val="11"/>
            <color theme="1"/>
            <rFont val="Calibri"/>
            <family val="2"/>
            <scheme val="minor"/>
          </rPr>
          <t>MARTIN OTALORA LOW:
Andisoles, Entisoles, Inceptisoles e Histosoles</t>
        </r>
      </text>
    </comment>
    <comment ref="BR28" authorId="0" shapeId="0" xr:uid="{9BA8BD62-3861-4B18-88D3-7C5283708D3B}">
      <text>
        <r>
          <rPr>
            <sz val="11"/>
            <color theme="1"/>
            <rFont val="Calibri"/>
            <family val="2"/>
            <scheme val="minor"/>
          </rPr>
          <t xml:space="preserve">MARTIN OTALORA LOW:
Valores promedio 
</t>
        </r>
      </text>
    </comment>
    <comment ref="BS28" authorId="0" shapeId="0" xr:uid="{7839A7CA-0B03-49B9-9270-98BA9D2D161B}">
      <text>
        <r>
          <rPr>
            <sz val="11"/>
            <color theme="1"/>
            <rFont val="Calibri"/>
            <family val="2"/>
            <scheme val="minor"/>
          </rPr>
          <t xml:space="preserve">MARTIN OTALORA LOW:
Valores promedio 
</t>
        </r>
      </text>
    </comment>
    <comment ref="F29" authorId="0" shapeId="0" xr:uid="{B2D8BD3F-6DC1-46BF-A66E-629A02EC202F}">
      <text>
        <r>
          <rPr>
            <sz val="11"/>
            <color theme="1"/>
            <rFont val="Calibri"/>
            <family val="2"/>
            <scheme val="minor"/>
          </rPr>
          <t>MARTIN OTALORA LOW:
Es un trabajo de Grado</t>
        </r>
      </text>
    </comment>
    <comment ref="AN31" authorId="0" shapeId="0" xr:uid="{A7F6BA5B-29B2-4F1F-9DB3-4C788B6B83D2}">
      <text>
        <r>
          <rPr>
            <sz val="11"/>
            <color theme="1"/>
            <rFont val="Calibri"/>
            <family val="2"/>
            <scheme val="minor"/>
          </rPr>
          <t xml:space="preserve">MARTIN OTALORA LOW:
entisols and inceptisols
</t>
        </r>
      </text>
    </comment>
    <comment ref="BY31" authorId="0" shapeId="0" xr:uid="{AC9DD5ED-79AB-44E2-A6B3-786B48C1D3BE}">
      <text>
        <r>
          <rPr>
            <sz val="11"/>
            <color theme="1"/>
            <rFont val="Calibri"/>
            <family val="2"/>
            <scheme val="minor"/>
          </rPr>
          <t xml:space="preserve">MARTIN OTALORA LOW:
Sacaran un cubo
</t>
        </r>
      </text>
    </comment>
    <comment ref="AX32" authorId="0" shapeId="0" xr:uid="{27B90A44-F4A6-4AF0-8FC0-75EA36519787}">
      <text>
        <r>
          <rPr>
            <sz val="11"/>
            <color theme="1"/>
            <rFont val="Calibri"/>
            <family val="2"/>
            <scheme val="minor"/>
          </rPr>
          <t>MARTIN OTALORA LOW:
80, 40, and 54
in forests, rubber plantations and pastures
with trees respectively.</t>
        </r>
      </text>
    </comment>
    <comment ref="CR32" authorId="0" shapeId="0" xr:uid="{BCCF7110-767A-4426-9C10-E6943160B00C}">
      <text>
        <r>
          <rPr>
            <sz val="11"/>
            <color theme="1"/>
            <rFont val="Calibri"/>
            <family val="2"/>
            <scheme val="minor"/>
          </rPr>
          <t xml:space="preserve">MARTIN OTALORA LOW:
Total de dos años
</t>
        </r>
      </text>
    </comment>
    <comment ref="CS32" authorId="0" shapeId="0" xr:uid="{13C93309-3302-4687-A333-86E9579AB65E}">
      <text>
        <r>
          <rPr>
            <sz val="11"/>
            <color theme="1"/>
            <rFont val="Calibri"/>
            <family val="2"/>
            <scheme val="minor"/>
          </rPr>
          <t>MARTIN OTALORA LOW:
Tambien esta diario
(daily NEE ranged from
−0.77 to −1.40 gC m−2 d−1).</t>
        </r>
      </text>
    </comment>
    <comment ref="AN33" authorId="0" shapeId="0" xr:uid="{3BEF8943-AD2B-4918-9359-EAF19DF5322A}">
      <text>
        <r>
          <rPr>
            <sz val="11"/>
            <color theme="1"/>
            <rFont val="Calibri"/>
            <family val="2"/>
            <scheme val="minor"/>
          </rPr>
          <t>MARTIN OTALORA LOW:
Oxisols</t>
        </r>
      </text>
    </comment>
    <comment ref="AN36" authorId="0" shapeId="0" xr:uid="{09D348C8-9323-46A6-B735-1D33F94B73DB}">
      <text>
        <r>
          <rPr>
            <sz val="11"/>
            <color theme="1"/>
            <rFont val="Calibri"/>
            <family val="2"/>
            <scheme val="minor"/>
          </rPr>
          <t>MARTIN OTALORA LOW:
Espodosoles</t>
        </r>
      </text>
    </comment>
    <comment ref="CI36" authorId="0" shapeId="0" xr:uid="{73514256-CF53-4D8E-BDA8-D9CE72A4E95D}">
      <text>
        <r>
          <rPr>
            <sz val="11"/>
            <color theme="1"/>
            <rFont val="Calibri"/>
            <family val="2"/>
            <scheme val="minor"/>
          </rPr>
          <t xml:space="preserve">MARTIN OTALORA LOW:
Super a 3 cm
</t>
        </r>
      </text>
    </comment>
    <comment ref="AK44" authorId="0" shapeId="0" xr:uid="{2A68630B-873F-4E0E-A722-7E9A5D0249F0}">
      <text>
        <r>
          <rPr>
            <sz val="11"/>
            <color theme="1"/>
            <rFont val="Calibri"/>
            <family val="2"/>
            <scheme val="minor"/>
          </rPr>
          <t xml:space="preserve">MARTIN OTALORA LOW:
Puede ser tambien 3.1.3.2
</t>
        </r>
      </text>
    </comment>
    <comment ref="AN47" authorId="0" shapeId="0" xr:uid="{AC150C73-CAC6-4602-B569-0C5836B67FBF}">
      <text>
        <r>
          <rPr>
            <sz val="11"/>
            <color theme="1"/>
            <rFont val="Calibri"/>
            <family val="2"/>
            <scheme val="minor"/>
          </rPr>
          <t>MARTIN OTALORA LOW:
Inceptisols y 
histosols</t>
        </r>
      </text>
    </comment>
    <comment ref="AV48" authorId="0" shapeId="0" xr:uid="{13E1545C-B326-4242-9E6A-F64DBE70E091}">
      <text>
        <r>
          <rPr>
            <sz val="11"/>
            <color theme="1"/>
            <rFont val="Calibri"/>
            <family val="2"/>
            <scheme val="minor"/>
          </rPr>
          <t xml:space="preserve">MARTIN OTALORA LOW:
No indican la resolucion de las imagenes
</t>
        </r>
      </text>
    </comment>
    <comment ref="AN51" authorId="0" shapeId="0" xr:uid="{3DBB48F3-690C-4113-AEBE-1EF50782440A}">
      <text>
        <r>
          <rPr>
            <sz val="11"/>
            <color theme="1"/>
            <rFont val="Calibri"/>
            <family val="2"/>
            <scheme val="minor"/>
          </rPr>
          <t>MARTIN OTALORA LOW:
Inceptisols and Oxisols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008F30-6202-4B09-A06F-CA7875CB1C13}" keepAlive="1" name="Consulta - Documentos2025_1" description="Conexión a la consulta 'Documentos2025_1' en el libro." type="5" refreshedVersion="7" background="1" saveData="1">
    <dbPr connection="Provider=Microsoft.Mashup.OleDb.1;Data Source=$Workbook$;Location=Documentos2025_1;Extended Properties=&quot;&quot;" command="SELECT * FROM [Documentos2025_1]"/>
  </connection>
</connections>
</file>

<file path=xl/sharedStrings.xml><?xml version="1.0" encoding="utf-8"?>
<sst xmlns="http://schemas.openxmlformats.org/spreadsheetml/2006/main" count="3508" uniqueCount="1244">
  <si>
    <t>BibliographyType</t>
  </si>
  <si>
    <t>ISBN</t>
  </si>
  <si>
    <t>DOI</t>
  </si>
  <si>
    <t>Identifier</t>
  </si>
  <si>
    <t>Author</t>
  </si>
  <si>
    <t>Title</t>
  </si>
  <si>
    <t>Journal</t>
  </si>
  <si>
    <t>Volume</t>
  </si>
  <si>
    <t>Number</t>
  </si>
  <si>
    <t>Month</t>
  </si>
  <si>
    <t>Pages</t>
  </si>
  <si>
    <t>Year</t>
  </si>
  <si>
    <t>Email</t>
  </si>
  <si>
    <t>Note</t>
  </si>
  <si>
    <t>URL</t>
  </si>
  <si>
    <t>Booktitle</t>
  </si>
  <si>
    <t>Chapter</t>
  </si>
  <si>
    <t>Editor</t>
  </si>
  <si>
    <t>Publisher</t>
  </si>
  <si>
    <t>Institution</t>
  </si>
  <si>
    <t>Organizations</t>
  </si>
  <si>
    <t>Abstract</t>
  </si>
  <si>
    <t>KeyWords</t>
  </si>
  <si>
    <t>Validación en campo</t>
  </si>
  <si>
    <t>Datos disponibles en repositorio</t>
  </si>
  <si>
    <t>Region Natural</t>
  </si>
  <si>
    <t>Departamento</t>
  </si>
  <si>
    <t>Municipio</t>
  </si>
  <si>
    <t>Vereda</t>
  </si>
  <si>
    <t>Sitio de muestreo</t>
  </si>
  <si>
    <t>Tipo de localización</t>
  </si>
  <si>
    <t>Latitud</t>
  </si>
  <si>
    <t>Longitud</t>
  </si>
  <si>
    <t>Altitud</t>
  </si>
  <si>
    <t>Ecosistema / Cobertura</t>
  </si>
  <si>
    <t>Cobertura IPCC</t>
  </si>
  <si>
    <t>Cobertura CLC</t>
  </si>
  <si>
    <t>Cobertura IGBP</t>
  </si>
  <si>
    <t>Cobertura nombre local</t>
  </si>
  <si>
    <t>Suelo IPCC</t>
  </si>
  <si>
    <t>Estado conservación</t>
  </si>
  <si>
    <t>Tipo de disturbio</t>
  </si>
  <si>
    <t>Anos de disturbio</t>
  </si>
  <si>
    <t>anos_desde_fin_disturbio</t>
  </si>
  <si>
    <t>Proteccion_legal</t>
  </si>
  <si>
    <t>Tipo muestreo</t>
  </si>
  <si>
    <t>Tipo unidad de muestreo</t>
  </si>
  <si>
    <t>Tamaño unidad de muestreo</t>
  </si>
  <si>
    <t>Forma unidad de muestreo</t>
  </si>
  <si>
    <t>No. unidad de muestreo</t>
  </si>
  <si>
    <t>Compartimentos</t>
  </si>
  <si>
    <t>Fecha instalación unidad de muestreo</t>
  </si>
  <si>
    <t>Periodicidad de muestreo</t>
  </si>
  <si>
    <t>Factor de conversión</t>
  </si>
  <si>
    <t xml:space="preserve">Contenido de Carbono en biomasa aérea unidades reportadas </t>
  </si>
  <si>
    <t>Contenido de Carbono en biomasa aérea valor reportado</t>
  </si>
  <si>
    <t>Contenido de Carbono en biomasa aérea (tC/ha)2</t>
  </si>
  <si>
    <t>Medida de error (SD;EE;U%)</t>
  </si>
  <si>
    <t>Metodología
Tamaño de categoria</t>
  </si>
  <si>
    <t>Metodología
Tamaño de muestra</t>
  </si>
  <si>
    <t>Metodología
Ecuaciones alométricas BA</t>
  </si>
  <si>
    <t xml:space="preserve">Contenido de Carbono en biomasa subterránea unidades reportadas </t>
  </si>
  <si>
    <t>Contenido de Carbono en biomasa subterranea valor reportado</t>
  </si>
  <si>
    <t>Contenido de Carbono en biomasa subterránea (tC/ha)</t>
  </si>
  <si>
    <t>Medida de error BS (SD;EE;U%)</t>
  </si>
  <si>
    <t>Metodología
Ecuaciones alométricas BS</t>
  </si>
  <si>
    <t xml:space="preserve">Contenido de Carbono en biomasa total (BA+BS) (tC/ha) </t>
  </si>
  <si>
    <t>Medida de error BT (SD;EE;U%)</t>
  </si>
  <si>
    <t xml:space="preserve">Contenido de Carbono organico del suelo unidades reportadas </t>
  </si>
  <si>
    <t>Contenido de Carbono organico del suelo valor reportado</t>
  </si>
  <si>
    <t>Contenido de Carbono orgánico en el suelo (COS) (tC/ha)</t>
  </si>
  <si>
    <t>Medida de error COS (SD;EE;U%)</t>
  </si>
  <si>
    <t>Metodología
Tipo de muestreo</t>
  </si>
  <si>
    <t>Metodología
Muestreo de suelos-Distancia (m)</t>
  </si>
  <si>
    <t>Metodología
Muestreo de suelos-Azimut (°)</t>
  </si>
  <si>
    <t>Metodología
Profundidad (cm)</t>
  </si>
  <si>
    <t>Metodología
Densidad aparente e instrumentos</t>
  </si>
  <si>
    <t>Metodología
Metodos de análisis</t>
  </si>
  <si>
    <t xml:space="preserve">Contenido de Carbono MOM unidades reportadas </t>
  </si>
  <si>
    <t>Contenido de Carbono MOM valor reportado</t>
  </si>
  <si>
    <t>Contenido de Carbono en MOM total (tC/ha)</t>
  </si>
  <si>
    <t>Medida de error MOM (SD;EE;U%)</t>
  </si>
  <si>
    <t>Contenido de Carbono en Árboles Muertos en Pie (AMP) Y Tocones Muertos (TM) (tC/ha)</t>
  </si>
  <si>
    <t>Medida de error AMP_TM (SD;EE;U%)</t>
  </si>
  <si>
    <t>Contenido de Carbono en Detritos Finos de Madera (DFM) (tC/ha)</t>
  </si>
  <si>
    <t>Medida de error DFM (SD;EE;U%)</t>
  </si>
  <si>
    <t xml:space="preserve">Contenido de Carbono en Detritos Gruesos de Madera (DGM) (tC/ha) </t>
  </si>
  <si>
    <t>Medida de error DGM (SD;EE;U%)</t>
  </si>
  <si>
    <t xml:space="preserve">Contenido de Carbono en Hojarasca (tC/ha) </t>
  </si>
  <si>
    <t>Medida de error (SD;EE;U%)23</t>
  </si>
  <si>
    <t>Metodología
Muestreo MOM</t>
  </si>
  <si>
    <t>Metodología
Muestreo DFM-DGM</t>
  </si>
  <si>
    <t>Metodología
Tamaño</t>
  </si>
  <si>
    <t>Metodología
AMP y TO</t>
  </si>
  <si>
    <t>Metodología
Hojasrasca</t>
  </si>
  <si>
    <t>Uninades resportadas CO2 Flux</t>
  </si>
  <si>
    <t>Valor reportado CO2 flux</t>
  </si>
  <si>
    <t>CO2 Flux</t>
  </si>
  <si>
    <t>Medida de error (SD;EE;U%)2</t>
  </si>
  <si>
    <t>Metodologia CO2 Flux</t>
  </si>
  <si>
    <t>Uninades resportadas CH4 Flux</t>
  </si>
  <si>
    <t>Valor reportado CH4 flux</t>
  </si>
  <si>
    <t>CH4 Flux</t>
  </si>
  <si>
    <t>Medida de error (SD;EE;U%)25</t>
  </si>
  <si>
    <t>Metodologia CH4 Flux</t>
  </si>
  <si>
    <t>Uninades resportadas N2O Flux</t>
  </si>
  <si>
    <t>Valor reportado N2O flux</t>
  </si>
  <si>
    <t>N2O Flux</t>
  </si>
  <si>
    <t>Medida de error (SD;EE;U%)3</t>
  </si>
  <si>
    <t>Metodologia N2O Flux</t>
  </si>
  <si>
    <t/>
  </si>
  <si>
    <t>Pea2009</t>
  </si>
  <si>
    <t>Peña, E. J.; Sandoval, H.; Zuñiga, O.; Torres, M.</t>
  </si>
  <si>
    <t>Estimates of Carbon Reservoirs in High-Altitude Wetlands in the Colombian Andes</t>
  </si>
  <si>
    <t>Journal of Agriculture and Rural Development in the Tropics and Subtropics</t>
  </si>
  <si>
    <t>115-126</t>
  </si>
  <si>
    <t>enripena@univalle.edu.co</t>
  </si>
  <si>
    <t>The observed increase in emission of greenhouse gases, with attendant effects on global warming, have raised interests in identifying sources and sinks of carbon in the environment. Terrestrial carbon (C) sequestration involves capture of atmospheric C through photosynthesis and storage in biota, soil and wetlands. Particularly, wetland systems function primarily as long-term reservoirs for atmospheric carbon dioxide (CO 2) and as sources of atmospheric methane (CH 4). The objective of this study was to evaluate the patterns of carbon reservoirs in two high-altitude wetlands in the central Andean mountain of Colombia. Carbon cycle in both systems is related mainly with the plant biomass dynamics from the littoral zone. Thus, total organic carbon concentrate an average up to 329 kg of N ha-1 and 125 kg of P ha-1 every year vs only 17 kg N ha-1 and 6 kg P ha-1 in the water column of the limnetic zone in the wetland, evidencing spatial differences in carbon concentrations for these types of ecosystems. Results revealed that these systems participate in the balance and sequestration of carbon in the Colombian Andes.</t>
  </si>
  <si>
    <t>Terrestrial carbon,atmospheric carbon dioxide,atmospheric methane,storage in biota</t>
  </si>
  <si>
    <t>Si</t>
  </si>
  <si>
    <t>NA</t>
  </si>
  <si>
    <t>Andes</t>
  </si>
  <si>
    <t>Caldas; Cundinamarca</t>
  </si>
  <si>
    <t>Villamaria; La Calera</t>
  </si>
  <si>
    <t>El Paramo; Mundo Nuevo</t>
  </si>
  <si>
    <t>Localizacion exacta</t>
  </si>
  <si>
    <t>N4° 50’ 57”; N4° 40’ 31.7”</t>
  </si>
  <si>
    <t>W75° 22’ 19”; W73° 48’ 36”</t>
  </si>
  <si>
    <t>Paramo</t>
  </si>
  <si>
    <t>Humedales (Wetlands)</t>
  </si>
  <si>
    <t>4.1.2</t>
  </si>
  <si>
    <t>Pastizales</t>
  </si>
  <si>
    <t>Paramo, Turbera</t>
  </si>
  <si>
    <t>Seminatural</t>
  </si>
  <si>
    <t>Sin disturbio</t>
  </si>
  <si>
    <t>No probabilistico</t>
  </si>
  <si>
    <t>Transecto</t>
  </si>
  <si>
    <t>1 litro; 1 m2</t>
  </si>
  <si>
    <t>Cuadrada</t>
  </si>
  <si>
    <t>Biomasa aerea y subterranea</t>
  </si>
  <si>
    <t>kg/m2</t>
  </si>
  <si>
    <t>1,5; 0,7</t>
  </si>
  <si>
    <t>7-15 tC/h</t>
  </si>
  <si>
    <t>Se hicieron 18 sub cuadrantes de 1 metro cuadrado</t>
  </si>
  <si>
    <t>10.1007/s11258-009-9648-6</t>
  </si>
  <si>
    <t>San-Jos2010</t>
  </si>
  <si>
    <t>San-José, José; Montes, Rubén; Mazorra, Miguel Angel; Ruiz, Ernesto Aguirre; Matute, Nathaly</t>
  </si>
  <si>
    <t>Patterns and carbon accumulation in the inland water-land palm ecotone (morichal) across the Orinoco lowlands, South America</t>
  </si>
  <si>
    <t>Plant Ecology</t>
  </si>
  <si>
    <t>361-374</t>
  </si>
  <si>
    <t>jsanjose@ivic.ve</t>
  </si>
  <si>
    <t>Springer Netherlands</t>
  </si>
  <si>
    <t>We examined the carbon dynamic across the inland water-land palm ecotones (morichals) of the Orinoco lowlands to increase comprehension of their potential for accumulating global carbon. Ecotone biomass was quantified for ecotones representing the flat-floored valley type with sparse woody vegetation and the V-shaped valley type with closed woody vegetation. The soil organic carbon (SOC) was linearly ordinated in a double logarithmic plot by the rank-ordering technique. The plot showed that there was an inflection point corresponding to the two sets of ecotones in flat-floored and V-shaped valley type. On average, a smaller proportion of the SOC in the ecotones was stored in the V-shaped than in the flat-floored valley type. As a result, the fractal dimension for the two ecotone groups was 1.27 and 2.67, respectively. The seasonal trend of above-and below-ground phytomass in the flat-floored and V-shaped valley type showed a temporal increase. However, the seasonal increment was only significant for the flat floored valley during the second annual course. The net primary productivity (NPP) of ecotone in flood-prone and stream bed areas in the flat-floored valley type was 340-837 and 2,438 g C m-2 year-1, respectively. The NPP value for the stream bed in the flat-floored valley type exceeds the NPP of those reported for a wide range of ecotones. Depending on the annual hydrological dynamic, the ecotone of the flood-prone area ranged from carbon steady-state store-house to carbon sink. © Springer Science+Business Media B.V. 2009.</t>
  </si>
  <si>
    <t>Llanos and veredas,Productivity,Savannas</t>
  </si>
  <si>
    <t xml:space="preserve">Orinoquia </t>
  </si>
  <si>
    <t>(1V) El Recreo, (2V) La Chinea, (3V)
Hato Becerra, (4V) Morichal Redondo, (5V) Can˜o Realito I,
(6V) Can˜o Realito II, (7V) Mocapra, (8V) Maturin, (9V) Los
Mereyes, (10V) Hicacal, (11V) Las Babas, (12V) Panzacola I,
(13V) Panzacola II, (14V) El Toro, (15V) San Diego, (16V)
Rı´o Mapire I, (17V) Rı´o Mapire II, (18V) Rı´o Macuto, (19V)
San Pedro, (20V) Agua Clarita, (21V) El Pao, (22V) El Tigre,
(23V) Rı´o Guanipa, (24V) Rı´o Mapirito, (25V) Santa Ba´rbara,
(26V) Maturı´n, (27V) Blanqueron, (28V) Morichal Largo I,
(29V) Morichal Largo II, (30V) Paso Nuevo, (31V) El
Esfuerzo, (36C) El Porvenir, (39C) Pachaquiaro II, (40C)
Mozambique, (41C) Alto Menegua, (45C) La Bonga, (47C)
Can˜o Porﬁa, (53C) Alto Neblinas, (54C) Cabecera Rı´o Muco.</t>
  </si>
  <si>
    <t>Localización aproximada a nivel de vereda</t>
  </si>
  <si>
    <t>Morichal</t>
  </si>
  <si>
    <t>3.1.1.1</t>
  </si>
  <si>
    <t>Humedales permanentes</t>
  </si>
  <si>
    <t>parcelas</t>
  </si>
  <si>
    <t>100 m2;  4.8 m3</t>
  </si>
  <si>
    <t>20; 100</t>
  </si>
  <si>
    <t>g C/ m2</t>
  </si>
  <si>
    <t xml:space="preserve">3,891 ; 15,770 </t>
  </si>
  <si>
    <t>Se hicieron 10 subparcelas de 10mx10m</t>
  </si>
  <si>
    <t>gC m2</t>
  </si>
  <si>
    <t>1,380; 2,401</t>
  </si>
  <si>
    <t>1857 gC/m2; 1099gc /m2</t>
  </si>
  <si>
    <t xml:space="preserve">En 39 sitios, toma de muestra a 1 20 y 30 cm </t>
  </si>
  <si>
    <t>0-10-20-30</t>
  </si>
  <si>
    <t>Cilindro volumetrico</t>
  </si>
  <si>
    <t>Walkley and Black</t>
  </si>
  <si>
    <t>240 submuestras de 50g</t>
  </si>
  <si>
    <t>Etter2011</t>
  </si>
  <si>
    <t>Etter, Andrés; Sarmiento, Armando; Romero, Milton H.</t>
  </si>
  <si>
    <t>Land Use Changes (1970–2020)and the Carbon Emissions inthe Colombian Llanos</t>
  </si>
  <si>
    <t>ECOSYSTEM FUNCTION IN SAVANNAS MEASUREMENT AND MODELING AT LANDSCAPE-TO GLOBAL SCALES</t>
  </si>
  <si>
    <t>Hill, Michael J.; Hanan. Niall, P.</t>
  </si>
  <si>
    <t>CRC Press</t>
  </si>
  <si>
    <t>Orinoquia</t>
  </si>
  <si>
    <t>Localizacion aproximada a nivel de municipio</t>
  </si>
  <si>
    <t>Pastizal natural</t>
  </si>
  <si>
    <t>Pastizales (Grassland)</t>
  </si>
  <si>
    <t>2.3.1</t>
  </si>
  <si>
    <t>Sabanas</t>
  </si>
  <si>
    <t>Sabana</t>
  </si>
  <si>
    <t>Manejado</t>
  </si>
  <si>
    <t>Agricultura, Pastoreo</t>
  </si>
  <si>
    <t>Pixel</t>
  </si>
  <si>
    <t>30 m LANDSAT, 20 mCBERS</t>
  </si>
  <si>
    <t>Biomasa aerea</t>
  </si>
  <si>
    <t>Torres2012</t>
  </si>
  <si>
    <t>Torres, Alba M.; Peña, Enrique J.; Zúñiga, Orlando; Peña, Julián A.</t>
  </si>
  <si>
    <t>EVALUACIÓN DEL IMPACTO DE ACTIVIDADES ANTRÓPICAS ENEL ALMACENAMIENTO DE CARBONO EN BIOMASA VEGETAL EN ECOSISTEMAS DE ALTA MONTAÑA DE COLOMBIA</t>
  </si>
  <si>
    <t>BOLETÍN CIENTÍFICO CENTRO DE MUSEOS MUSEO DE HISTORIA NATURAL</t>
  </si>
  <si>
    <t>132-142</t>
  </si>
  <si>
    <t>alba.torres@correounivalle.edu.co.</t>
  </si>
  <si>
    <t>resumen Se evaluó el impacto, de las actividades antrópicas, sobre el almacenamiento de carbono en la biomasa vegetal, de bosques intervenidos y no intervenidos, mediante parcelas permanentes, en los ecosistemas de páramo y bosque alto andino, en el Parque Nacional Natural Chingaza y en el Parque Nacional Natural Los Nevados, de Colombia. Se midió directamente, el carbono almacenado en biomasa de pastizales de páramo de forma indirecta, en biomasa de bosques, utilizando ecuaciones calibradas (metodología no destructiva) y se modelaron, ecuaciones de regresión estadística para estimar de forma indirecta, la biomasa de arbustos de páramo. Los resultados muestran que, los bosques altos andinos más conservados, tienen el mayor contenido de carbono, el cual se reduce drásticamente, debido a la fragmentación y la tala. Por consiguiente, es muy importante conservar el bosque alto andino, en el estado más natural posible, porque éste, es el bosque que posee, una mayor reserva de carbono.</t>
  </si>
  <si>
    <t>Cundinamarca</t>
  </si>
  <si>
    <t>Na</t>
  </si>
  <si>
    <t>N 1032072;N 1032058;N 1007649; N 1007292</t>
  </si>
  <si>
    <t>E 850502;E 850900;E 1024726;E 1025851</t>
  </si>
  <si>
    <t>3152;3194;2650;3041</t>
  </si>
  <si>
    <t>Parcela Permanente</t>
  </si>
  <si>
    <t>500m2</t>
  </si>
  <si>
    <t>Rectangular</t>
  </si>
  <si>
    <t>2,24;1,73; 19,26; 2</t>
  </si>
  <si>
    <t>Cuadrado medio de error</t>
  </si>
  <si>
    <t>20 sub-parcelas</t>
  </si>
  <si>
    <t>Brown 1989</t>
  </si>
  <si>
    <t>MrquezVega2013</t>
  </si>
  <si>
    <t>Vega, Luis Evangelista Márquez; Reyes, Germán E. Cely</t>
  </si>
  <si>
    <t>EL PÁRAMO Y SU POTENCIAL DE CAPTURA DE CARBONO; EXPERIENCIA PÁRAMO LA CORTADERA-BOYACÁ</t>
  </si>
  <si>
    <t>luise-26@hotmail.com</t>
  </si>
  <si>
    <t>Memorias Congreso Investigación y Pedagogía.</t>
  </si>
  <si>
    <t>RESUMEN Sobre los 3000 m.s.n.m. se encuentra el páramo, ecosistema que ofrece importantes servicios ambientales y fuente de uno de los recursos más preciados para los seres vivos como lo es el agua, sin embargo este se encuentra seriamente amenazado y degradado por el desarrollo de las diferentes actividades antrópicas. Tiene el poder particular de fijar carbono atmosférico, especialmente en los suelos, ya que al contar con bajas temperaturas, contenidos importantes de humedad y bajas tasas de mineralización de la materia orgánica, se convierte en un potencial sumidero de carbono. Para determinar la captura de carbono ejercida por los suelos, se evaluó la variabilidad espacial del contenido de carbono orgánico bajo diferentes tipos de uso, medida inicial en el establecimiento de parcelas permanentes de monitoreo. Las muestras para la cuantificación de carbono se tomaron a dos profundidades, se obtuvo el valor de carbono orgánico (Walkey y Black) y densidad aparente (Cilindro de volumen conocido) para cada una de ellas y se calculó las Toneladas de Carbono equivalente que indica la captura real de carbono ejercido por los suelos de páramo. La información obtenida fue integrada en un sistema de información geográfica, generando cartografía asociada a la distribución espacial de los contenidos de carbono orgánico. Al analizar los resultados se encontró contenidos variables de carbono orgánico asociados al tipo y al uso del suelo, evidenciando contrastes que indican la capacidad de disminuir los niveles de uno de los gases de efecto invernadero más relevantes, el dióxido de carbono-CO 2 , de cuyo hallazgo científico, surge la imperiosa necesidad y la importancia de concientizar la comunidad a través de procesos educativos que permitan equilibrar el sistema natural con lo social. ABSTRACT Above 3000 m.s.n.m. lies the moor ecosystem that provides important environmental services and source of one of the most precious resources for living things such as water, however this is seriously threatened and degraded by the development of</t>
  </si>
  <si>
    <t>Palabras Clave: Secuestro Carbono,Páramo,Suelo</t>
  </si>
  <si>
    <t xml:space="preserve">Andes </t>
  </si>
  <si>
    <t xml:space="preserve">Boyaca </t>
  </si>
  <si>
    <t>Toca</t>
  </si>
  <si>
    <t xml:space="preserve">N05º32'13.7'' </t>
  </si>
  <si>
    <t>W 0.73º06'50.5'</t>
  </si>
  <si>
    <t>Pastoreo</t>
  </si>
  <si>
    <t>Probabilistico</t>
  </si>
  <si>
    <t>Punto</t>
  </si>
  <si>
    <t>5cm</t>
  </si>
  <si>
    <t>Circular</t>
  </si>
  <si>
    <t>Carbono organico del suelo</t>
  </si>
  <si>
    <t>(ton C/ha)</t>
  </si>
  <si>
    <t>81,36;100,57;39,35;46,09;15,18;17,04</t>
  </si>
  <si>
    <t>150 puntos aleatorios, dos muestras por punto a profundidad 0-15 y 15-30 cm</t>
  </si>
  <si>
    <t>0-15-30</t>
  </si>
  <si>
    <t>Ziga-Escobar2013</t>
  </si>
  <si>
    <t>Zúñiga-Escobar, Orlando; Peña-Salamanca, Enrique Javier; Torres-González, Alba Marina; Cuero-Guependo, Ramiro; Peña-Óspina, Julián Andrés</t>
  </si>
  <si>
    <t>Assessment of the impact of anthropic activities on carbonstorage in soils of high montane ecosystems in Colombia</t>
  </si>
  <si>
    <t>Agronomía Colombiana</t>
  </si>
  <si>
    <t>112-119</t>
  </si>
  <si>
    <t>orlando.zuniga@correounivalle.edu.co</t>
  </si>
  <si>
    <t>The organic carbon in the soil was quantified to assess the im- pact of anthropic activities on montane ecosystems in Colombia in Chingaza Parque Nacional Natural (PNN) and Los Nevados Parque Nacional Natural (PNN). For the development of the soil samples, a detailed in situ description of the edaphological profile of four ecosystems of paramo and high Andean forest areas, of both disturbed and undisturbed zones, was taken as the base. The calculation of the amount of total carbon stored by the soil profile shows that, in Colombia, undisturbed high montane ecosystems (520.9 t ha-1 in paramos and 323.6 t ha-1 in high Andean forests of Chingaza PNN, and 373.0 t ha-1 in paramos and 254.6 t ha-1 in high Andean forests of Los Nevados PNN) currently have more carbon than disturbed ecosystems (135.1 t ha-1 in paramos and 141.5 t ha-1 in high Andean forests of Chingaza PNN, and 356.3 t ha-1 in paramos and 217.1 t ha-1 in high Andean forests of Los Nevados PNN). It is clear that the disturbance of high montane ecosystems decreases the amount of carbon in the soil, a situation that is more concerning in Chingaza PNN where the difference between the disturbed and undisturbed ecosystems is much more marked than in Los Nevados PNN.</t>
  </si>
  <si>
    <t>soil microorganisms, Andean zone, paramos,
natural parks</t>
  </si>
  <si>
    <t>Natural; Manejado</t>
  </si>
  <si>
    <t>Parcela</t>
  </si>
  <si>
    <t>1x1x1 metros</t>
  </si>
  <si>
    <t>Cubica</t>
  </si>
  <si>
    <t>AndradeCastaeda2014</t>
  </si>
  <si>
    <t>Castañeda, Hernán Jair Andrade; Gómez, Edna Lucia Espinosa; Baltán, Herney Armando Moreno</t>
  </si>
  <si>
    <t>Impact of grazing on soil organic storage carbon in high landsof Anaime, Tolima, Colombia</t>
  </si>
  <si>
    <t>Zootecnia Trop</t>
  </si>
  <si>
    <t>7-21</t>
  </si>
  <si>
    <t>hjandrade@ut.edu.co</t>
  </si>
  <si>
    <t>The mineralization of the soil organic matter may be accelerated by productive activities as grazing and pasture management. The objective of this study was to evaluate the impact of grazing on soil organic carbon (COS) in the high plateau of Anaime, Tolima, Colombia. An unbalanced completely randomized design was used, selecting three treatments: 1) pastures with 20 years in conservation; 2) pastures currently in use; and 3) Andean high-land native forests. The COS storage was estimated using organic carbon concentration and bulk density at a depth of 0-30 cm. Aboveground biomass (AB) of forage plants was also estimated in the case of pastures. Correlation and regression analysis were carried out between COS and time of use, occupation period and stocking rate. The pastures in use stored more COS than those conserved and native forests (P&lt;0.05; 34.4 vs 22.0 vs 21.6 tC/ha, respectively). In contrast, conserved pastures stored more carbon in AB that those in use (P&lt;0.05; 8.3 vs 2.1 tC/ha). It was found that extensive livestock management had a positive impact in the COS in the Páramo of Anaime. However, a change from forests to pastures would cause a CO2 emission by effect of burns and/or decomposition of the organic matter and the loss of other environmental services as water regulation and those derived from conservation of biodiversity.</t>
  </si>
  <si>
    <t>Aboveground biomass, bulk density,
concentration of soil organic carbon, stocking rate.</t>
  </si>
  <si>
    <t>Tolima</t>
  </si>
  <si>
    <t>Rovira,Cajamarca,Roncesvalles,</t>
  </si>
  <si>
    <t>Localización aproximada a nivel de municipio</t>
  </si>
  <si>
    <t>50x50 cm</t>
  </si>
  <si>
    <t xml:space="preserve">18 zonas de muestres, 10cuadrantes adentro </t>
  </si>
  <si>
    <t>Biomasa aerea, Carbono organico del suelo, Densidad</t>
  </si>
  <si>
    <t>tC/ha</t>
  </si>
  <si>
    <t>Conservado 8.3, Usado 2.1</t>
  </si>
  <si>
    <t>+- 0.3; +- 0.9</t>
  </si>
  <si>
    <t>34.4 ± 3.4 vs 22.0 ± 2.1 vs 21.6 ± 3.8 tC/ha</t>
  </si>
  <si>
    <t>±3.8</t>
  </si>
  <si>
    <t>0-30</t>
  </si>
  <si>
    <t>Lavelle2014</t>
  </si>
  <si>
    <t>Lavelle, Patrick; Rodríguez, Nubia; Arguello, Orlando; Bernal, Jaime; Botero, Cesar; Chaparro, Paula; Gómez, Yolanda; Gutiérrez, Albert; del Pilar Hurtado, María; Loaiza, Sandra; Pullido, Sandra Xiomara; Rodríguez, Edgar; Sanabria, Catalina; Velásquez, Elena; Fonte, Steven J.</t>
  </si>
  <si>
    <t>Soil ecosystem services and land use in the rapidly changing orinoco river basin of colombia</t>
  </si>
  <si>
    <t>Agriculture, Ecosystems and Environment</t>
  </si>
  <si>
    <t>106-117</t>
  </si>
  <si>
    <t>Patrick.Lavelle@ird.fr</t>
  </si>
  <si>
    <t>In the Orinoco River Basin of eastern Colombia large scale and rapid conversion of natural savannas into commercial agriculture exists as a critical threat for the ecological integrity of this fragile region. The highly acidic and compacted soils inherent to this region require thorough physical and chemical conditioning in order for intensive cropping systems to be established. Assessing the impact of this dramatic soil perturbation on biodiversity, ecosystem services and other elements of the natural capital is an urgent task for designing sustainable management options in the region. To address this need, we evaluated soil macro invertebrate communities and soil-based ecosystem services (climate regulation, hydrologic functions, soil stability provided by macro aggregation and nutrient provision potential) in four major production systems: improved pastures, annual crops (rice, corn and soy bean), oil palm and rubber plantations, and compared them to the original savanna. Fifteen plots of each system were sampled along a 200km natural gradient of soil and climatic conditions. In each plot, we assessed climate regulation by measuring green house gas emissions (N2O, CH4 and CO2) and C storage in aboveground plant biomass and soil (0-20cm). Soil biodiversity (macro invertebrate communities) and three other soil-based ecosystem services, were assessed using sets of 12-20 relevant variables associated with each service and synthesized via multivariate analyses into a single indicator for each ecosystem function, adjusted in a range of 0.1-1.0. Savannas yielded intermediate values for most indicators, while each production system appeared to improve at least one ecosystem service. For example, nutrient provision (chemical fertility) was highest in annual cropping systems (0.78±0.03) due to relatively high concentrations of Ca, Mg, N, K, and available P and low Al saturation. Hydrological functions and climate regulation (C storage and GHG emissions) were generally improved by perennial crops (oil palm and rubber), while indicators for macro invertebrate biodiversity and activity (0.73±0.05) and soil macro aggregation (0.76±0.02) were highest within improved pastures. High variability within each system indicates the potential to make improvements in fields with lowest indicator values, while differences among systems suggest the potential to mitigate negative impacts by combining plots with contrasted functions in a strategically designed landscape mosaic. © 2014.</t>
  </si>
  <si>
    <t>Agricultural intensification,Ecosystem function,Llanos Orientales,Soil macro fauna,Soil quality</t>
  </si>
  <si>
    <t>No</t>
  </si>
  <si>
    <t>Meta</t>
  </si>
  <si>
    <t xml:space="preserve">200m </t>
  </si>
  <si>
    <t>25*25cm</t>
  </si>
  <si>
    <t>Biomasa aerea; Carbono organico del suelo</t>
  </si>
  <si>
    <t xml:space="preserve">Mg/ha </t>
  </si>
  <si>
    <t>Cultivos Anuales (1.7 ± 0.3 Mg ha−1) Palma (35.3 ± 7.0 Mg ha−1) Caucho (19.3 ± 7.8 Mg ha−1)</t>
  </si>
  <si>
    <t>± 0.3 Mg;± 7.0 Mg; ± 7.8 Mg</t>
  </si>
  <si>
    <t>75 parcelas de 50 x 50 cm</t>
  </si>
  <si>
    <t>(Ibrahim et al.,
2007</t>
  </si>
  <si>
    <t>Mg C ha-1</t>
  </si>
  <si>
    <t>52.1 ± 2.6 Mg ha−1 to 69.7 ± 3.2 Mg ha−1</t>
  </si>
  <si>
    <t>± 2.6 ;  3.2</t>
  </si>
  <si>
    <t>Un cilindro a los 0-10cm y 10-20 cm analizados por parcela de estudio (75)</t>
  </si>
  <si>
    <t>0-10-20</t>
  </si>
  <si>
    <t>978-958-660-216-7</t>
  </si>
  <si>
    <t>ForeroUlloa2015</t>
  </si>
  <si>
    <t>Ulloa, Fabio Emilio Forero; Reyes, Germán Eduardo Cely; Pacheco, Laura Sofía Palacios</t>
  </si>
  <si>
    <t>CAPTURA DE CARBONO EN SUELOS DE PÁRAMO
LÍNEA BASE A PARTIR DE ESCENARIOS DE INTERVENCIÓN</t>
  </si>
  <si>
    <t>Dinámica del páramo como espacio para la captura de carbono
para la captura de carbono</t>
  </si>
  <si>
    <t>CAPITULO 3: "CAPTURA DE CARBONO EN SUELOS DE PÁRAMO
LÍNEA BASE A PARTIR DE ESCENARIOS DE INTERVENCIÓN"</t>
  </si>
  <si>
    <t>Bertha Ramos Holguín</t>
  </si>
  <si>
    <t>UPTC</t>
  </si>
  <si>
    <t>Paramo La Cortadera</t>
  </si>
  <si>
    <t xml:space="preserve">05.57453 N , 05.57561 N, 05.58025 N, </t>
  </si>
  <si>
    <t>073.11929W,  07312321 W, 073.13099 W</t>
  </si>
  <si>
    <t>Natural, Seminatural, Manejado</t>
  </si>
  <si>
    <t>150 puntos en un area de 500m2</t>
  </si>
  <si>
    <t>TonC/ha</t>
  </si>
  <si>
    <t>475.88 , 159.02 , 32.22</t>
  </si>
  <si>
    <t>Con cilidrin se sacaran un total de 600 muestras en 150 puntos en un area de 500m2</t>
  </si>
  <si>
    <t>Walkley Black</t>
  </si>
  <si>
    <t>MarulandaA2015</t>
  </si>
  <si>
    <t>Juliana Marulanda, A.; Villa, Jorge A.</t>
  </si>
  <si>
    <t>Densidad aparente y concentración de materia orgánica en el suelo de un humedal de alta montaña</t>
  </si>
  <si>
    <t>Journal of Engineering and Technology</t>
  </si>
  <si>
    <t>9-20</t>
  </si>
  <si>
    <t>jorvilla@lasallistadocentes.edu.co</t>
  </si>
  <si>
    <t>Introducción. los humedales tienen gran importancia ecológica. Uno de sus principales servicios ambientales consiste en la captura y almacenamiento de carbono en su suelo en forma de materia orgánica. Las grandes reservas de carbono almacenadas en los humedales hacen que sean importantes para la reducción de dióxido de carbono atmosférico (CO2) y a su vez ayudan a mitigar el calentamiento global. Objetivo. el objetivo de este trabajo es determinar la densidad aparente y la concentración de materia orgánica en el suelo de un humedal tropical de alta montaña. Metodología. se colectaron muestras inalteradas de suelo a lo largo de dos gradientes de niveles de agua (A y B). En cada uno se colectaron muestras inalteradas de suelo de hasta 60 cm en tres puntos diferentes que representan una variación gradual en el nivel del agua. Se calculó la densidad aparente para cada núcleo de suelo colectado y se estimó el contenido de materia orgánica por medio del método de pérdida por ignición LOI. Los datos se analizaron en el programa estadístico SPSS Statistics 20. Resultados. los resultados demuestran concentraciones significativas de materia orgánica en los dos gradientes muestreados en el humedal, siendo los puntos denominados en ambos gradientes como seco e intermedio, donde se obtuvo una mayor concentración de materia orgánica sin diferencia estadística significativa entre ellos. Conclusiones. se evidenció que el nivel del agua juega un papel importante en la densidad aparente y la concentración de materia orgánica en el ecosistema estudiado.</t>
  </si>
  <si>
    <t>wetland, gradient, density, carbon,
global warming.</t>
  </si>
  <si>
    <t>Antioquia</t>
  </si>
  <si>
    <t>Belmira</t>
  </si>
  <si>
    <t>Paramo Santa Ines</t>
  </si>
  <si>
    <t>06° 40’ 54” N</t>
  </si>
  <si>
    <t>75° 40’ 37.6” W</t>
  </si>
  <si>
    <t>Natural</t>
  </si>
  <si>
    <t>6.5cm</t>
  </si>
  <si>
    <t>%</t>
  </si>
  <si>
    <t>La media de la concentración
de la materia orgánica (%) para los
niveles de agua seco 71.0 , intermedio  73.8 y
saturado 62.9</t>
  </si>
  <si>
    <t>0-60  (embolsada cada 2cm)</t>
  </si>
  <si>
    <t>Heiri,Lotter &amp; Lemcke (2001)</t>
  </si>
  <si>
    <t>10.1016/j.ejsobi.2015.10.001</t>
  </si>
  <si>
    <t>Ordoez2015</t>
  </si>
  <si>
    <t>Ordoñez, María Cristina; Galicia, Leopoldo; Figueroa, Apolinar; Bravo, Isabel; Peña, Miguel</t>
  </si>
  <si>
    <t>Effects of peasant and indigenous soil management practices on the biogeochemical properties and carbon storage services of Andean soils of Colombia</t>
  </si>
  <si>
    <t>European Journal of Soil Biology</t>
  </si>
  <si>
    <t>28-36</t>
  </si>
  <si>
    <t>macriso11@gmail.com</t>
  </si>
  <si>
    <t>Elsevier Masson SAS</t>
  </si>
  <si>
    <t>Indigenous and peasant management systems that produce food, fibre and fuel have long been used in many Andean cultures, but their effects on soil biogeochemical properties and storage of soil organic carbon have been poorly analysed. The aim of this study was to evaluate the physical, chemical and biological properties and carbon storage in Andean soils under three peasant and indigenous management practices in Popayan, Colombia: Natural Pasture (NP) (Holcus lanatus), Forage Crops (FC) (Pennisetum purpureum), and Natural Forest (NF) (dominated by Quercus humboldtii). In all, 216 samples were analysed over a 12-month period. The soils under the three soil managements had optimum texture (loamy and sandy loam), bulk density (&lt;0.71 gr cm3) and hygroscopic moisture content (11.45%) derived from the local Andosols. These soils were highly acid, particularly the forest soil (pH 4.68), but the high content of organic matter in the pasture and addition of calcium compounds to the cultivation soil had improved the pH (5.38 and 5.21 for NP and FC, respectively). Soil cultivation had produced a high metabolic quotient (qCO2 2.46) in relation NP (0.85) and NF (0.75), perhaps owing to an imbalance of the microbial community caused by disturbances and by excess external organic carbon. However, the soils under all three management systems stored high contents of total organic carbon (TOC): 127, 111 and 110 t ha-1, for NP, NF and FC, respectively. The presence of allophones in these soils leads to the formation of highly stable organo-mineral complexes, impeding mineralisation of the organic matter and allowing a high potential for soil carbon storage. A lack of temporal variability of the soil physical properties is due to the characteristics dominated by soil genesis and by the high resilience of Andosols. We conclude that the food production management practices of these indigenous communities and farmers are compatible with maintenance of the carbon storage service in these soils at the local scale.</t>
  </si>
  <si>
    <t>Andean volcanic soils,Metabolic quotient,Pastures,Soil management,Total organic carbon stock</t>
  </si>
  <si>
    <t>Cauca</t>
  </si>
  <si>
    <t>Quintana</t>
  </si>
  <si>
    <t>Las Piedras</t>
  </si>
  <si>
    <t>Cuenca del Rio Las Piedras Pastizal Natural</t>
  </si>
  <si>
    <t xml:space="preserve">2°21´03500 N
</t>
  </si>
  <si>
    <t>76°	33´01000 W</t>
  </si>
  <si>
    <t>Pastizal de Holcus lanatus</t>
  </si>
  <si>
    <t>Andisoles</t>
  </si>
  <si>
    <t>200m2</t>
  </si>
  <si>
    <t>9.65</t>
  </si>
  <si>
    <t>Parcelas de 200 m2 con subparcelas de 8 m2. 3 muestras compuestas por subparcela</t>
  </si>
  <si>
    <t>0-20</t>
  </si>
  <si>
    <t>Walkey and Black</t>
  </si>
  <si>
    <t>AfricanoPrez2016</t>
  </si>
  <si>
    <t>Pérez, Karen Lisseth Africano; Reyes, Germán Eduardo Cely; Cely, Pablo Antonio Serrano</t>
  </si>
  <si>
    <t>Potencial de captura de CO2 asociadoal componente edáfico en páramos Guantiva-La Rusia, departamento de Boyacá, Colombia</t>
  </si>
  <si>
    <t>Perspectiva Geográfica</t>
  </si>
  <si>
    <t>91-110</t>
  </si>
  <si>
    <t>karen.africano@ uptc.edu.co</t>
  </si>
  <si>
    <t>Moors are considered important features for mitigating the impact of climate
change, as their soils can capture and trap CO2, a major greenhouse gas.
They were used in order to determine the effect caused by human activities as
it relates to the ability to capture CO2, in permanent sample plots (PPM); one
located in an intervened area, another in an unhampered area and another
in a recovery area in the complex of moors in Guantiva-La Rusia (Boyacá,
Colombia). The PPM in recuperation showed greater ability to capture an
average of 872.26 t.ha-1; in contrast with the minor capacity PPM which was
taken with a mean value of 221.70 t.ha-1. T. This shows the negative effect
exerted by human activity on the ability to capture carbon in these soils, and
the role these ecosystems play as carbon drains, hence the importance of their
protection and conservation.</t>
  </si>
  <si>
    <t>global warming, carbon drain, greenhouse effect, Guantiva-La
Rusia, moors.</t>
  </si>
  <si>
    <t>páramo de Guanti-
va-La Rusia</t>
  </si>
  <si>
    <t>(N6 03.315; N6 03.449, N6 03.284</t>
  </si>
  <si>
    <t>W72 55.240;   W72 55.533;  W72
55.223</t>
  </si>
  <si>
    <t>3100-4200</t>
  </si>
  <si>
    <t>10x10m</t>
  </si>
  <si>
    <t>Intervenida 60,41 No intervenida144,93</t>
  </si>
  <si>
    <t>144,93</t>
  </si>
  <si>
    <t>En una parcela de 500m2, se hicieron 9 sub parcelas de 10x10 en donde se tomaron 8 submuestras entre 0-15 y 15-30</t>
  </si>
  <si>
    <t>Cuervo-Barahona2016</t>
  </si>
  <si>
    <t>Cuervo-Barahona, Elsa Liliana; Cely-Reyes, Germán Eduardo; Moreno-Perez, Diego Fernando</t>
  </si>
  <si>
    <t>Determinación de las fracciones de carbono orgánico en el suelo del páramo La Cortadera, Boyacá</t>
  </si>
  <si>
    <t>Ingenio Magno,</t>
  </si>
  <si>
    <t>139-149</t>
  </si>
  <si>
    <t>elsa.cuervo@uptc.edu.co</t>
  </si>
  <si>
    <t>https://revistas.santototunja.edu.co/index.php/ingeniomagno/article/view/1200</t>
  </si>
  <si>
    <t>Páramos are considered strategic ecosystems because of their supply of environmental services, the accumulation of carbon being among those worth highlighting. This study aimed to determine the fractions of organic carbon present in the ground of the Páramo La Cortadera, employing the technique of organic matter characterization and the wet digestion method (Walkley – Black). The results showed that the native vegetation has a higher concentration of carbon compared to the coverings of farms and pastures; being that the carbon is extractable, the fraction that had the highest values, followed by humic and fulvic acids. The study concludes that the páramo “La Cortadera” is a very vulnerable ecosystem due to high anthropogenic impact, therefore, it is preferable to preserve and protect it, due to the fact that it contains labile carbon fractions that can be returned directly to the atmosphere, favoring climate change and the greenhouse effect.</t>
  </si>
  <si>
    <t>páramo, ground, carbon fractions and cover vegetation</t>
  </si>
  <si>
    <t>Pesca, Toca, Tuta y Siachoque</t>
  </si>
  <si>
    <t>cuenca del rio chicamocha</t>
  </si>
  <si>
    <t xml:space="preserve">05º32’13.7’ N </t>
  </si>
  <si>
    <t>0.73º06’50.5’ W</t>
  </si>
  <si>
    <t>3300-3815</t>
  </si>
  <si>
    <t>70 puntos muestreados aleactoriamente, 0-15-30</t>
  </si>
  <si>
    <t>(Walkley-Black)</t>
  </si>
  <si>
    <t>https://doi.org/10.15446/agron.colomb.v34n3.58791</t>
  </si>
  <si>
    <t>Pea-Quemba2016</t>
  </si>
  <si>
    <t>Peña-Quemba, Diego; Rubiano-Sanabria, Yolanda; Riveros-Iregui, Diego</t>
  </si>
  <si>
    <t>Efectos del uso del suelo sobre el flujo de CO2 del suelo en el Páramo de Guerrero, Colombia</t>
  </si>
  <si>
    <t>Agronomia Colombiana</t>
  </si>
  <si>
    <t>364-373</t>
  </si>
  <si>
    <t>dcpenaq@unal.edu.co</t>
  </si>
  <si>
    <t>Universidad Nacional de Colombia1</t>
  </si>
  <si>
    <t>The Andean paramo is an important global carbon sink and has a fundamental ecological function of capture, regulation and supply of water resources. The soil CO2 efflux is a natural process through which the carbon is released into the atmosphere by molecular diffusion. The aim of this study was to establish the effect of different land use and soil managements practices over CO2 efflux in the Paramo de Guerrero, using the soil respiration chamber technique. We evaluated five different land covers present in the Paramo de Guerrero (paramo vegetation, pasture, two tillage cover and potato crop). Our results show that soil respiration was lower in the paramo (0.42 g CO2 m-2 h-1) than in the others land uses, probably due to the higher moisture content (57.1% on average). The tillage practices showed a primary physical effect, continued by the increase of the velocity of biological and chemical processes drived by soil microorganisms, such as microbial respiration and organic matter mineralization. This study demostrates that moisture and soil temperature were not the main drivers of CO2 flux in the conditions of the Paramo de Guerrero, but the agricultural management and the land use affect differentially the accumulation and release dynamics of soil organic carbon to the atmosphere.</t>
  </si>
  <si>
    <t>Agricultural soil management,Carbon sinks,Climate change,Soil respiration,Tillage</t>
  </si>
  <si>
    <t>Tausa</t>
  </si>
  <si>
    <t>Guandoque</t>
  </si>
  <si>
    <t>Paramo de Guerrero Transecto T1</t>
  </si>
  <si>
    <t xml:space="preserve">Andisoles </t>
  </si>
  <si>
    <t>Flujo de CO2 Carbono organico del suelo</t>
  </si>
  <si>
    <t>2014-01</t>
  </si>
  <si>
    <t>26.25</t>
  </si>
  <si>
    <t>Muestreo en transecto con 12 sitios de medicion aprox 1x1 m</t>
  </si>
  <si>
    <t>5-20-50</t>
  </si>
  <si>
    <t>Combustion seca elemental analyzer</t>
  </si>
  <si>
    <t>g CO2 m-2 h-1</t>
  </si>
  <si>
    <t>EGM-4 IRGA camara SRC-1 PP Systems Mediciones cada 2-7 dias Ene-Mar 2014</t>
  </si>
  <si>
    <t xml:space="preserve"> http://dx.doi.org/10.15446/acag.v66n1.53171</t>
  </si>
  <si>
    <t>Montes-Pulido2017</t>
  </si>
  <si>
    <t>Montes-Pulido, Carmen Rosa; Miras, José Joaquín Ramos; Wery, Ana María San José</t>
  </si>
  <si>
    <t>Estimation of soil organic carbon (SOC) at different soil depths and soil use in the Sumapaz paramo, Cundinamarca-Colombia</t>
  </si>
  <si>
    <t>Acta Agronomica</t>
  </si>
  <si>
    <t>carmenmontesp@yahoo.fr</t>
  </si>
  <si>
    <t>Universidad Nacional de Colombia</t>
  </si>
  <si>
    <t>The vertical distribution of soil organic carbon (SOC), considered to be a key component of the carbon cycle, is still poorly understood in tropical highest mountain ecosystems such as the Andean paramo. The estimation of the SOC in the presence and absence of anthropic intervention, will help to define policies to mitigate CO2 emissions into the atmosphere from this ecosystem. The aim of this research was to determine soil organic carbon sequestration at three soil depths under two types of soil use in the paramo of Sumapaz, Colombia. The soil variations of pH, phosphorus, aluminum, bulk density, carbon sequestration, cation exchange capacity, texture and to estimate the vertical distribution of soil organic carbon SOC, were evaluated, respectively. Two sites were selected to establish the soil estimations according to soil use: natural vegetation cover and potato (Solanum tuberosum L.) crop. Samples were taken from 0-25, 25-50 and &lt; 50 cm soil depths. Consequently, eight physical-chemical variables were analyzed in terms of the SOC sequestration estimated for each soil depth and soil. The averages for SOC under natural vegetation cover were: 188 tC.ha-1 to 25 cm, 183 tC.ha-1 to 50 cm, and 178 tC.ha-1 at soil depths below 50cm. For potato (Solanum tuberosum L.) crops, SOC sequestration were: 119 tC.ha-1 to 25 cm, 83 tC.ha-1 to 50 cm, and 71.8 tC.ha-1 at soil depths below 50cm. These results allow to support the soil management strategies that addressed to preserve SOC and regulate water level within the ecosystem of the Andean paramo.</t>
  </si>
  <si>
    <t>Andisols,Root carbon,Soil organic matter,Vertical distribution</t>
  </si>
  <si>
    <t>Paramo Sumapaz</t>
  </si>
  <si>
    <t>4°19’23.50”N, 4°19’35.26”N</t>
  </si>
  <si>
    <t>74°12’13.38”E, 74°12’22.05”E.</t>
  </si>
  <si>
    <t>Natural, Manejado</t>
  </si>
  <si>
    <t>Agricultura</t>
  </si>
  <si>
    <t>30*20</t>
  </si>
  <si>
    <t>15 de papa 15 natural</t>
  </si>
  <si>
    <t>tonC/ha</t>
  </si>
  <si>
    <t>188 tC.ha-1 - 25 cm, 183 tC.ha-1 - 50 cm, 178 tC.ha-1 - &gt;50. For potato 119 tC.ha-1 - 25 cm, 83
tC.ha-1 -50 cm,  71.8 tC.ha-1 - &gt;50cm.</t>
  </si>
  <si>
    <t>"188 tC.ha-1 - 25 cm, 183 tC.ha-1 - 50 cm, 178 tC.ha-1 - &gt;50. For potato 119 tC.ha-1 - 25 cm, 83
tC.ha-1 -50 cm,  71.8 tC.ha-1 - &gt;50cm."</t>
  </si>
  <si>
    <t>Se identifico un area de 6 ha de papa y 6 ha de cobertura natural. Estas areas se dividieron en secciones de 30*20, de donde se eligieron 15 en cada uno. en cada parcela de muestreo se obtuvieron muestras a 0-25-50-75</t>
  </si>
  <si>
    <t>0-25-50-75</t>
  </si>
  <si>
    <t>Berhongaray et al. (2013) y espectrometria</t>
  </si>
  <si>
    <t>https://doi.org/10.1117/1.JRS.11.026008</t>
  </si>
  <si>
    <t>Vargas2017</t>
  </si>
  <si>
    <t>Vargas, Leonardo; Hein, Lars; Remme, Roy P.</t>
  </si>
  <si>
    <t>Accounting for ecosystem assets using remote sensing in the Colombian Orinoco River Basin lowlands</t>
  </si>
  <si>
    <t>Journal of Applied Remote Sensing</t>
  </si>
  <si>
    <t>1 -17.</t>
  </si>
  <si>
    <t>leonardo.vargasbarbosa@wur.nl</t>
  </si>
  <si>
    <t>SPIE-Intl Soc Optical Eng</t>
  </si>
  <si>
    <t>© 2017 Society of Photo-Optical Instrumentation Engineers (SPIE). Worldwide, ecosystem change compromises the supply of ecosystem services (ES). Better managing ecosystems requires detailed information on these changes and their implications for ES supply. Ecosystem accounting has been developed as an environmental-economic accounting system using concepts aligned with the System of National Accounts. Ecosystem accounting requires spatial information from a local to national scale. The objective of this paper is to explore how remote sensing can be used to analyze ecosystems using an accounting approach in the Orinoco River Basin. We assessed ecosystem assets in terms of extent, condition, and capacity to supply ES. We focus on four specific ES: grasslands grazed by cattle, timber harvesting, oil palm fresh fruit bunches harvesting, and carbon sequestration. We link ES with six ecosystem assets: savannahs, woody grasslands, mixed agroecosystems, very dense forests, dense forest, and oil palm plantations. We used remote sensing vegetation and productivity indexes to measure ecosystem assets. We found that remote sensing is a powerful tool to estimate ecosystem extent. The enhanced vegetation index can be used to assess ecosystems condition, and net primary productivity can be used for the assessment of ecosystem assets capacity to supply ES. Integrating remote sensing and ecological information facilitates efficient monitoring of ecosystem assets.</t>
  </si>
  <si>
    <t>moderate resolution imaging spectroradiometer; ecosystem services; net primary
productivity; condition; measurement.</t>
  </si>
  <si>
    <t>http://dx.doi.org/10.18041/entramado.2017v13n1.25112</t>
  </si>
  <si>
    <t>Castaeda-Martn2017</t>
  </si>
  <si>
    <t>Castañeda-Martín, Abel Efrén; Montes-Pulido, Carmen Rosa</t>
  </si>
  <si>
    <t>Carbono almacenado en páramo andino</t>
  </si>
  <si>
    <t>ENTRAMADO</t>
  </si>
  <si>
    <t>210-221</t>
  </si>
  <si>
    <t>abeefrencm8@gmail.com</t>
  </si>
  <si>
    <t>https://revistas.unilibre.edu.co/index.php/entramado/article/view/427</t>
  </si>
  <si>
    <t>Despite the importance of the paramo ecosystem in the global carbon cycle, there is not an available synthesis for identifying if plant bio-
mass or soil accumulates the maximum amount of carbon. The purpose of this document is to focus on paramo ecosystem stock carbon,
throught: 1) to review estimates for the abovegroundbiomass and soil organic carbón; 2) to examine the agricultural production effects on
carbon storage, and 3) to identify management practices for reducing carbon emissions in the paramo ecosystem. We searched papers
about carbon storage in paramo in databases like Science Direct, Springerlink, Willey Online Library y Google Scholar. Soil stored more
carbon than aboveground biomass. Soil carbon organic (SOC) between 119 and 397 t/ha was storaged in the upper 40 cm. Meanwhile,
aboveground biomass carbon varied between 13,21 y 183 t/ha. More studies about SOC are requiered. This information could contribute
to support actions over the entailment of paramo ecosystem in carbon markets.</t>
  </si>
  <si>
    <t>Aboveground biomass, carbon in soils, better agricultural practices, carbon in high mountains, paramo ecosystem</t>
  </si>
  <si>
    <t>https://doi.org/10.1016/j.ecoleng.2017.06.068</t>
  </si>
  <si>
    <t>Veber2018</t>
  </si>
  <si>
    <t>Veber, Gert; Kull, Ain; Villa, Jorge A.; Maddison, Martin; Paal, Jaanus; Oja, Tõnu; Iturraspe, Rodolfo; Pärn, Jaan; Teemusk, Alar; Mander, Ülo</t>
  </si>
  <si>
    <t>Greenhouse gas emissions in natural and managed peatlands of America: Case studies along a latitudinal gradient</t>
  </si>
  <si>
    <t>Ecological Engineering</t>
  </si>
  <si>
    <t>34-45</t>
  </si>
  <si>
    <t>ulo.mander@ut.ee</t>
  </si>
  <si>
    <t>Elsevier B.V.</t>
  </si>
  <si>
    <t>Processes affecting CO2 and CH4 emissions and their budgets have been relatively well studied in northern temperate peatlands, whereas similar studies are almost absent in southern Patagonia and the high-altitude Andean peatlands, both of which are currently under heavy anthropogenic pressure. The objectives of this study were to compare greenhouse gas (GHG) emissions in natural and managed peatlands to examine the effect of management on GHG emissions and identify the environmental parameters affecting them. We analysed CO2, CH4 and N2O emissions related to the physical and chemical conditions of the peat: in a natural and managed transitional bog in Quebec, Canada, a natural páramo and grazed peatland in the Colombian Andes, and a bog and a fen in Tierra del Fuego, Argentina. GHG fluxes were measured using the dark static chamber method. Groundwater table, temperature, O2 content, pH and redox potential were measured from observation wells, soil temperature was measured at four depths, peat samples were analysed for pH, soil organic matter and dry matter content, P, K, Ca, Mg, NH4-N, NO3-N, total N and C. In all regions, human-impacted peatlands showed significantly higher CO2-C, N2O-N and CH4-C emissions than their natural counterparts. The Canadian managed transitional bog showed the highest average CO2-C (575 mg C m-2 h-1) and N2O-N (0.08 mg N m-2 h-1) emissions, whereas the Colombian pasture was the largest emitter of CH4-C (2.35 mg C m-2 h-1). CO2-C emissions were controlled by soil temperature and C content, whereas CH4-C flux was negatively correlated to dissolved oxygen content in peat water, and positively to water table level and soil log (C/NO3-N) ratio. Total Inorganic Nitrogen (TIN), C/N ratio, and soil temperature were the main factors controlling N2O emissions. Intensive peatland management alters the soil C/N balance, and increases and leads to higher variability of GHG emissions. Agricultural activities, especially crop production in peatlands, as well as intensive grazing in mountain peatland pastures, are the main factors increasing GHG emissions in the peatlands studied. Mitigation is possible via regulation of grazing intensity and replacing arable fields with grasslands.</t>
  </si>
  <si>
    <t>Bog,Carbon dioxide,Fen,Methane,Nitrous oxide,Patagonia,Páramo</t>
  </si>
  <si>
    <t>Natural Paramo peatland</t>
  </si>
  <si>
    <t>Suelos organicos</t>
  </si>
  <si>
    <t>0.1963</t>
  </si>
  <si>
    <t>Flujos CO2 Flujos CH4 Flujos N2O COS</t>
  </si>
  <si>
    <t>2015-06</t>
  </si>
  <si>
    <t>39.1</t>
  </si>
  <si>
    <t>Muestras de suelo por camara</t>
  </si>
  <si>
    <t>0-10 y 20-30</t>
  </si>
  <si>
    <t>dry-combustion method on varioMAX CNS elemental analyser</t>
  </si>
  <si>
    <t>mg C m-2 h-1</t>
  </si>
  <si>
    <t>26.8</t>
  </si>
  <si>
    <t>Metodo de camara estatica cerrada collares PVC 50 cm diametro muestras de gas cada 20 min durante sesiones de 1h</t>
  </si>
  <si>
    <t>ug C m-2 h-1</t>
  </si>
  <si>
    <t>0.002628</t>
  </si>
  <si>
    <t>Metodo de camara estatica cerrada sistema de cromatografia de gases Shimadzu GC-2015 con detector FID</t>
  </si>
  <si>
    <t>ug N m-2 h-1</t>
  </si>
  <si>
    <t>0.0003504</t>
  </si>
  <si>
    <t>Metodo de camara estatica cerrada sistema de cromatografia de gases Shimadzu GC-2015 con detector ECD</t>
  </si>
  <si>
    <t>Silva-Parra2018</t>
  </si>
  <si>
    <t>Silva-Parra, Amanda</t>
  </si>
  <si>
    <t>Modelación de los stocks de carbono del suelo y las emisiones de dióxido de carbono (GEI) en sistemas productivos de la Altillanura Plana</t>
  </si>
  <si>
    <t>158-171</t>
  </si>
  <si>
    <t>asilvap@unillanos.edu.co</t>
  </si>
  <si>
    <t>https://orinoquia.unillanos.edu.co/index.php/orinoquia/article/view/525</t>
  </si>
  <si>
    <t>Universidad de los Llanos</t>
  </si>
  <si>
    <t>&lt;p&gt;Los distintos manejos de los suelos afectan las existencias de C del suelo. El análisis multivariado de la modelación de los stocks de C del suelo (SOC0-T), las tasas de pérdidas (-?C) y/o ganancias de C del suelo (?C), las emisiones de gases de efecto invernadero (GEI) y remociones (-GEI) de CO2 atmosférico asociadas con algunas propiedades fisicoquímicas de los suelos en sistemas productivos de la Altillanura y otros de Piedemonte de la Orinoquia conformaron tres grupos bien definidos. El clúster I agrupó a pasturas mejoradas de Granada (S1) y sistemas agroforestales (SAFs) de café asociados con plátano y leguminosas de Villavicencio (S9), donde las ganancias de C (?C) y absorciones de CO2 atmosférico (-GEI) fueron medias variando de ˜ 0.11 a 2.37 t C ha-1 año-1 y de -1.60 a -8.70 t CO2eq ha-1 año-1; siendo que monocultivos en rotación también formaron parte de este grupo; el clúster II reunió a monocultivos de arroz de Villavicencio (S10) y de piña de Puerto López (S14) que presentaron las más altas pérdidas de C (-?C) del suelo y emisiones de CO2 atmosférico (GEI) de ˜ -2.08 a -2.35 t C ha-1 año-1 y de ˜ 7.62 a 8.62 t CO2eq ha-1 año-1; el clúster III agrupo a sistemas agroforestales SAFs de caucho y leguminosas de cobertura (S13) y sistemas silvopastoriles (SSPs) de Acacia mangium y pasturas mejoradas (S12) de Puerto López con las más altas ganancias de C del suelo (?C) y absorciones de CO2 atmosférico (-GEI) de ˜ 0.373 a 2.64 t C ha-1 año-1 y de ˜ -1.36 a -9.67 t CO2eq ha-1 año-1. Los sistemas agroforestales son una buena alternativa para el secuestro de C del suelo en la Altillanura Plana de Colombia.&lt;/p&gt;</t>
  </si>
  <si>
    <t>Puerto Lopez, Villavicencio</t>
  </si>
  <si>
    <t>Natural, manejado</t>
  </si>
  <si>
    <t>Pastoreo, Agricultura</t>
  </si>
  <si>
    <t>75.72
66.15
49.48
53.55
43.63
74.49
75.45
34.80
104.90
31.32
81.96
116.64
71.61
36.82
57.73</t>
  </si>
  <si>
    <t>"75.72
66.15
49.48
53.55
43.63
74.49
75.45
34.80
104.90
31.32
81.96
116.64
71.61
36.82
57.73"</t>
  </si>
  <si>
    <t xml:space="preserve">Se muestrearon 20 fincas a traves de las dos areas, para un total de 40. Cada muestreo buscaba tener uno o mas sistemas (con un total de 15 sistemas) </t>
  </si>
  <si>
    <t>https://doi.org/10.1016/j.catena.2019.04.006</t>
  </si>
  <si>
    <t>Prez-Rojas2019</t>
  </si>
  <si>
    <t>Pérez-Rojas, Jonathan; Moreno, Flavio; Quevedo, Julio César; Villa, Jorge</t>
  </si>
  <si>
    <t>Soil organic carbon stocks in fluvial and isolated tropical wetlands from Colombia</t>
  </si>
  <si>
    <t>Catena</t>
  </si>
  <si>
    <t>139-148</t>
  </si>
  <si>
    <t>jjperezr@unal.edu.co</t>
  </si>
  <si>
    <t>Freshwater tropical wetlands are valuable sinks of carbon (C) on the global scale. While much attention has been paid to forested peatlands, little is known about C stored in tropical freshwater mineral soil wetlands dominated by herbaceous and macrophyte vegetation, specially its spatial variability at the ecosystem level. Here we study the soil organic carbon of two tropical lowland wetlands (fluvial and isolated), located in the interandean valley of the Magdalena river in Colombia. Soil cores were extracted from 11 sampling zones distributed in the two wetlands, including the dryland adjacent to each wetland. They were sectioned into 2 cm-depth increments that were analyzed for C content. The average bulk density was higher (P &lt; 0.001) in the fluvial wetland (0.87 ± 0.3 g cm-3) than in the isolated one (0.45 ± 0.3 g cm-3), the concentration of C (% Cr) was higher (P &lt; 0.001) in the isolated wetland (11.1 ± 6.8%) than in the fluvial one (1.9 ± 1.1%) as well as the average soil organic carbon (6.4 ± 2.6 and 2.9 ± 1.1 t C ha-1 cm-1, respectively). Per unit area, the fluvial wetland had about twice as much storage capacity of C as the dryland, while in the isolated wetland the ratio was up to five times higher. Hydrogeomorphology was an important factor for the C storage in these ecosystems. The fluctuating hydrodynamics of the fluvial wetland seems to favor aerobic conditions and thus the prevalence of aerobic over anaerobic decomposition, lowering accumulation of C. This study makes an important contribution towards the understanding of C dynamics in different types of tropical wetlands and brings data to support their conservation.</t>
  </si>
  <si>
    <t>Bulk density,Decomposition,Fluvial,Fresh water ecosystems,Hydrogeomorphology,Organic matter</t>
  </si>
  <si>
    <t>Puerto Triunfo, Puerto Nare</t>
  </si>
  <si>
    <t>Humedal</t>
  </si>
  <si>
    <t>4.1.1</t>
  </si>
  <si>
    <t>Natural, Seminatural</t>
  </si>
  <si>
    <t>2*2</t>
  </si>
  <si>
    <t>6.40  t C ha y 2.86  t C ha</t>
  </si>
  <si>
    <t xml:space="preserve">± 2.60. ± 1.10 </t>
  </si>
  <si>
    <t>Se muestreo terreno con inundacion temporal y permanente. Debido a la diferencia en profundidades de las zonas inundadas hay nucleo mas profundos que otros. Se cortaron cada 2 cm. Se hicieron 11 parcelas de 2x2</t>
  </si>
  <si>
    <t>0-30-130</t>
  </si>
  <si>
    <t>Blake and Hartge</t>
  </si>
  <si>
    <t>https://doi.org/10.1016/j.scitotenv.2018.11.109</t>
  </si>
  <si>
    <t>Villa2019</t>
  </si>
  <si>
    <t>Villa, Jorge A.; Mejía, Gloria M.; Velásquez, Daniela; Botero, Andrés; Acosta, Sharon A.; Marulanda, Juliana M.; Osorno, Ana M.; Bohrer, Gil</t>
  </si>
  <si>
    <t>Carbon sequestration and methane emissions along a microtopographic gradient in a tropical Andean peatland</t>
  </si>
  <si>
    <t>Science of the Total Environment</t>
  </si>
  <si>
    <t>651-661</t>
  </si>
  <si>
    <t>villa-betancur.1@osu.edu</t>
  </si>
  <si>
    <t>Tropical alpine peatlands are among the least studied wetlands types on earth. Their important ecosystem services at local and regional scope are currently threatened by climate and land use changes. Recent studies in these ecosystems suggest their importance to the provision of climate regulation services, prompting a better understanding of the underlying functions and their variability at ecosystem scales. The objective of this study is to determine the variability of methane (CH 4 ) fluxes and carbon (C) sequestration within a tropical alpine peatland in three locations along a microtopographic gradient and its associated plant diversity. These locations accounted for: 1) hummocks, found mostly near the edge of the peat with a water table below the soil surface, 2) lawns, in the transition zone, with a water-table near the soil surface, and 3) hollows, permanently flooded with a water table above the soil surface, composed of small patches of open water intermingled with unconsolidated hummocks that surface the water level. Results indicate that CH 4 flux is lowest in the lawns, while C sequestration is highest. Conversely, the hummock and hollow have higher CH 4 flux and lower C sequestration. In addition, plant diversity in the lawns is higher than in the hummock and hollow location. Dryer conditions brought by current climate change in the northern Andes are expected to lower the water tables in the peatland. This change is expected to drive a change in CH 4 flux and C sequestration at the lawns, currently dominating the peatland, towards values more similar to those measured in the hummocks. This decrease may also represent a change towards the lower plant diversity that characterized the hummock. Such changes will reduce the ratio of C sequestration:CH 4 flux signifying the reduction of resilience and increment of vulnerability of the climate-regulating service to further perturbations.</t>
  </si>
  <si>
    <t>Carbon sequestration,Climate regulation,Ecosystem services,Methane emission,Páramo,Resilience,Vulnerability</t>
  </si>
  <si>
    <t>Seccion El morro, del paramo belmira</t>
  </si>
  <si>
    <t>06°
40′ 54″ N,</t>
  </si>
  <si>
    <t>75° 40′ 37.6″ W</t>
  </si>
  <si>
    <t>20*20m</t>
  </si>
  <si>
    <t>Flujo CH4</t>
  </si>
  <si>
    <t xml:space="preserve">En 6 parcelas de 20*20m se obtuvieron nucleos de 40cm, segmentados de a 2 cm. Estos se desecaron. luego a 5 sub muestras de 3.5mg, se inineraron a 1080 grados </t>
  </si>
  <si>
    <t>0-40</t>
  </si>
  <si>
    <t>g C m-2 h-1</t>
  </si>
  <si>
    <t>33.8
31.4
46.0
63.6
36.6
31.0</t>
  </si>
  <si>
    <t>0.338
0.314
0.460
0.636
0.366
0.310</t>
  </si>
  <si>
    <t xml:space="preserve">Estimado a partir de muestras de cilindro volumetrico, peso humedo, peso seco. </t>
  </si>
  <si>
    <t>Utilizando el constant rate of supply, se utilizaron 15 secciones para determinar la antiguegad y la tasa de acrecion</t>
  </si>
  <si>
    <t>mg CH4-C m2 h-1</t>
  </si>
  <si>
    <t>2.94, 4.08</t>
  </si>
  <si>
    <t>6.64,9.31</t>
  </si>
  <si>
    <t xml:space="preserve">Metodo de camara estatica cerrada </t>
  </si>
  <si>
    <t>Se utilizo una recamara de 30.5 L, insertado a 10cm y sobresaliendo 10cm. Para zonas inundadas, camaras de 20L se colocaron flotando. 3 recamaras fueron colocadas 1 vez, cada 45 dias Aprox</t>
  </si>
  <si>
    <t>https://doi.org/10.15446/rcdg.v28n1.66152</t>
  </si>
  <si>
    <t>FernndezPrez2019</t>
  </si>
  <si>
    <t>Pérez, Carlos Julio Fernández; Reyes, Germán Eduardo Cely; Serrano, Pablo Antonio</t>
  </si>
  <si>
    <t>Quantification of carbon sequestration and analysis of soil properties in natural coverages and a pine plantation in the páramo of rabanal, Colombia</t>
  </si>
  <si>
    <t>Cuadernos de Geografia: Revista Colombiana de Geografia</t>
  </si>
  <si>
    <t>121-133</t>
  </si>
  <si>
    <t>carlos.fp91@gmail.com</t>
  </si>
  <si>
    <t>Soil organic carbon and its effect on five soil properties (apparent density; gravimetric moisture; ph; organic matter; and percentage of carbon) was determined by implementing a systematic point sampling method using a 48 point fixed grid (350 m between each point) applied in two soil layers (at depths of 0-15 and 15-30 cm). The 500-hectare study zone hosts a pine plantation and native vegetation of the Páramo of Rabanal in Boyacá, Colombia. The average soil organic carbon found at depths of 0-15 and 0-30 cm was 51.4 t/ha and 108 t/ha, respectively. Statistical differences (p &lt; 0.05) were found between the native coverage and the pine plantation at both depths for the apparent density, gravimetric moisture and ph variables, while the organic matter and percentage of carbon variables showed no significant differences. The results show a reduction in the water capacity of the soils in the study area due to the increase in apparent density in soils located under the pine plantation. With respect to carbon contents, there is a comparative decrease in relation to the high-plateau (Páramo) vegetation coverage, given that the characteristic conditions of forest plantations limit the growth of the different vegetal layers endemic to that ecosystem, and consequently, biological activity.</t>
  </si>
  <si>
    <t>Carbon sequestration,Organic carbon,Pine,Páramo of rabanal,Soils,changes in soil</t>
  </si>
  <si>
    <t>Samaca</t>
  </si>
  <si>
    <t>Vereda Salamanca, Vereda La Chorrera</t>
  </si>
  <si>
    <t>Paramo el Rabanal</t>
  </si>
  <si>
    <t>5°25’20,8” N</t>
  </si>
  <si>
    <t>73°32’32,1” W</t>
  </si>
  <si>
    <t>Parecela</t>
  </si>
  <si>
    <t>30x30 cm</t>
  </si>
  <si>
    <t>46,7
56,1
106
113</t>
  </si>
  <si>
    <t>21,3
28,5
61,9
56</t>
  </si>
  <si>
    <t>En 48 Parcelas de 30x30cm se obtuvieron nucleos a 15cm y 30cm de profundidad, los cuales fueron sometidos al metodo humedo de walkley black para obtener el carbono en suelo</t>
  </si>
  <si>
    <t>10.23818/limn.39.45</t>
  </si>
  <si>
    <t>Castro-Gonzlez2020</t>
  </si>
  <si>
    <t>Castro-González, Maribeb; González, Angélica</t>
  </si>
  <si>
    <t>Net nitrous oxide production from an urban wetland in Colombia is mainly influenced by seasonal changes</t>
  </si>
  <si>
    <t>Limnetica</t>
  </si>
  <si>
    <t>693-709</t>
  </si>
  <si>
    <t>maribeb.castro@unimilitar.edu.co</t>
  </si>
  <si>
    <t>Asociacion Iberica de Limnologia</t>
  </si>
  <si>
    <t>Urban wetlands act as biodiversity and environmental quality protection areas in cities. They are ecosystems with a complex microbial dynamic that includes the production and consumption of N2O that has been little explored in tropical areas. The goal of this study was to determine whether nitrification and/or denitrification are associated with the net production of N2O in the Santa María del Lago urban wetland in the city of Bogota. For this, laboratory experiments were carried out using inhibitors (N-Allylthiourea and acetylene) and analyzing the spatial and temporal variation of physical and chemical parameters in water and sediment samples. The results showed that the concentration of N2O in surface water was lower than atmospheric values and presented temporal variation between rainy season and dry season. A net production of N2O of up to 0.059 ± 0.013 ng g-1 d-1 during the dry season was quantified, and a nitrification contribution between 38 and 80 % was estimated. In the rainy season, a net N2O consumption of up to-0.035 ± 0.011 ng g-1 d-1 was observed due to denitrification associated with low levels of O2. At this time, there was also an increase in the levels of total organic nitrogen in bottom waters and an increase in the levels of organic matter, phosphate and ammonium in sediments compared to the dry season. While in bottom waters, ammonium levels, nitrate and phosphate were low and similar between seasons and sampling areas. These data that the temporal dynamics of microbial nitrification and denitrification processes are determining the amount of N2O that can be efflux from this wetland to the atmosphere. Although its emission is not yet significant for the global balance of this greenhouse gas, it can be increased considering that urban wetlands in the city of Bogotá are reducing their surface due to the decrease in the rainfall regime that has been observed in the last decades, due to climate change.</t>
  </si>
  <si>
    <t>Denitrification,Nitrification,Nitrogen,Nitrous oxide,Wetlands</t>
  </si>
  <si>
    <t>Bogota</t>
  </si>
  <si>
    <t>Humedal Santa Maria del Lago</t>
  </si>
  <si>
    <t xml:space="preserve">04º 41’ 32.17'' N </t>
  </si>
  <si>
    <t>74º 05’ 40.71'' W</t>
  </si>
  <si>
    <t>Cambio en la cobertura del suelo</t>
  </si>
  <si>
    <t>Flujo N2O</t>
  </si>
  <si>
    <t>47.8/58, 32.9/18.9, 54.2/14.5</t>
  </si>
  <si>
    <t>Se obtuvo una muestra del fondo del humedal en temporada seca y humeda. Obtuvieron bolsas de 500 gramos</t>
  </si>
  <si>
    <t>Combustion a alta temperatura Método
estándar 5310 B</t>
  </si>
  <si>
    <t>PPB</t>
  </si>
  <si>
    <t>276±26/288±7; 375±18/nd; 302±55/266±3; nd/282±10.4; 254±4/253±2</t>
  </si>
  <si>
    <t>http://doi.org/10.22579/20112629.587</t>
  </si>
  <si>
    <t>Carvajal-Agudelo2020</t>
  </si>
  <si>
    <t>Carvajal-Agudelo, Blanca N.; Andrade, Hernán J.</t>
  </si>
  <si>
    <t>Captura de carbono en biomasa de sistemas de uso del suelo, municipio de Yopal, Casanare, Colombia</t>
  </si>
  <si>
    <t>13-22</t>
  </si>
  <si>
    <t>forestalninfa@hotmail.com</t>
  </si>
  <si>
    <t>El cambio climático, ocasionado por el incremento en la concentración de gases efecto invernadero (GEI), genera alteraciones en el clima del planeta, aumentando la temperatura media global, lo que afecta patrones de precipitación. El área de estudio se ubicó en el Municipio de Yopal, corregimiento Tacarimena, compuesta por ocho veredas, la cual presenta clima cálido – húmedo con promedio de precipitación anual de 2270 mm; temporada seca de diciembre-marzo y lluviosa de abril-noviembre y alturas inferiores a 380 m. En concordancia con la necesidad del desarrollo bajo en carbono, la presente investigación estima la biomasa arriba y abajo del suelo y con éstas el carbono total almacenado en siete sistemas de uso del suelo: 1) plátano con sombrío (SAF+ plátano), 2) cacao con sombrío (Ca+S), 3) cítricos (C), 4) sistema silvopastoril bajo (SSPB), 5) sistema silvopastoril alto (SSPA), 6) bosques de galería (BG), y 7) mata de monte (MM). Se trabajó con diseño experimental completamente al azar con cinco repeticiones, para un total de 35 unidades experimentales. Se establecieron parcelas temporales de muestreo, tomando datos en 832 árboles de 66 especies botánicas. Se estimó la biomasa arriba del suelo mediante modelos alometricos, utilizando datos de campo (diámetro a la altura del pecho dap y la altura total). La biomasa abajo del suelo (raíces) se estimó empleando el modelo general para bosques tropicales. Todos los usos del suelo en estudio ofrecen el servicio ecosistémico de captura de carbono, siendo el BG y la MM los de mayor carbono, mientras que el SAF+plátano almacenó la menor cantidad de carbono. Potenciales cambios de sistemas productivos a sistemas forestales (BG y MM) implican una ganancia de carbono (adicionalidad), mientras que los cambios contrarios, es decir deforestación, representan emisiones de CO2. Estos resultados son claves para la orientación a políticas y proyectos de captura de carbono.</t>
  </si>
  <si>
    <t>Casanare</t>
  </si>
  <si>
    <t xml:space="preserve">Yopal </t>
  </si>
  <si>
    <t xml:space="preserve"> El Nocuito, Manantiales; Sirivana, Palomas, La calceta, La Manga, Tacarimena y El Tiestal</t>
  </si>
  <si>
    <t xml:space="preserve">Bosque galeria </t>
  </si>
  <si>
    <t>Tierras forestales (Forestland)</t>
  </si>
  <si>
    <t>314 Bosque de galeria y ripario</t>
  </si>
  <si>
    <t xml:space="preserve">Bosques Mixtos </t>
  </si>
  <si>
    <t xml:space="preserve">Natural </t>
  </si>
  <si>
    <t xml:space="preserve">Sin disturbio </t>
  </si>
  <si>
    <t>probabilistico</t>
  </si>
  <si>
    <t>1000m2</t>
  </si>
  <si>
    <t>Mg/ha (Biomasa)</t>
  </si>
  <si>
    <t>132.5 (Biomasa) +/-50</t>
  </si>
  <si>
    <t>Registro de individuos con DAP &gt;= 10cm. 
Modelos alometricos aplicados: 
Bosque húmedo tropical
Ba = e(-2.289+0.937*Ln((dap)^(2)*(H)*(D))
Álvarez et al., (2012)</t>
  </si>
  <si>
    <t>parcela de 1000m2</t>
  </si>
  <si>
    <t>25.3 (Biomasa) +/-30</t>
  </si>
  <si>
    <t>74.2 Mg/ha Crabono</t>
  </si>
  <si>
    <t>parcela</t>
  </si>
  <si>
    <t>0-15 y 15-30</t>
  </si>
  <si>
    <t>COS=C x ρb x T x (1-frag)  x 10  
donde:
COS = contenido de carbono orgánico del suelo (ton ha-1C)
C = concentración de carbono orgánico del suelo obtenido en laboratorio
ρb = densidad aparente del suelo (g/cm), masa de suelo por volumen
T = espesor de la capa del suelo expresado en términos de metros
FG = contenido de fragmentos (No se tuvo en cuenta)
Obs = el multiplicador final 10 se usó para convertir las unidades en ton ha-1C. (Fernández et al, 2019)
análisis al carbono orgánico (CO), implemen tando el procedimiento de oxidación húmeda   de Walkley y Black (1934)</t>
  </si>
  <si>
    <t>análisis al carbono orgánico (CO), implemen tando el procedimiento de oxidación húmeda   de Walkley y Black (1934)</t>
  </si>
  <si>
    <t>9789585151406</t>
  </si>
  <si>
    <t>CanalDaza2020</t>
  </si>
  <si>
    <t>Daza, Diana Skarly. Canal</t>
  </si>
  <si>
    <t>Composición florística y carbono almacenado en biomasa en el Santuario de Fauna
y Flora Iguaque en Boyacá, Colombia</t>
  </si>
  <si>
    <t>31-54</t>
  </si>
  <si>
    <t>Conservación de carbono en el Santuario de Fauna y Flora Iguaque, Boyacá, Colombia</t>
  </si>
  <si>
    <t>CAPITULO 2</t>
  </si>
  <si>
    <t>Sello Editorial Universidad del Tolima</t>
  </si>
  <si>
    <t>Villa de Leyva, Arcabuco, Chiquiza</t>
  </si>
  <si>
    <t>Santuario de Fauna y Flora Iguaque</t>
  </si>
  <si>
    <t>05°35´52,69” N</t>
  </si>
  <si>
    <t>73°22´43,38” O</t>
  </si>
  <si>
    <t>2400-3890</t>
  </si>
  <si>
    <t>Paramo, Tubera, Bosque altoandino</t>
  </si>
  <si>
    <t>10*25</t>
  </si>
  <si>
    <t>Biomasa Aerea</t>
  </si>
  <si>
    <t>tonC/h</t>
  </si>
  <si>
    <t>55.5,27,23.7,5</t>
  </si>
  <si>
    <t>45.5,23,18.7,4</t>
  </si>
  <si>
    <t xml:space="preserve">DAP &gt; 10cm </t>
  </si>
  <si>
    <t xml:space="preserve">49 parcelas </t>
  </si>
  <si>
    <t>10,5,4,1</t>
  </si>
  <si>
    <t>55.5 , 27 , 23.7 , 5.0</t>
  </si>
  <si>
    <t>± 4.5,± 8.5,±6.4, ± 4.6,</t>
  </si>
  <si>
    <t>Carbono orgánico del suelo en biomasa en el Santuario de Fauna y Flora Iguaque
en Boyacá, Colombia</t>
  </si>
  <si>
    <t>59-74</t>
  </si>
  <si>
    <t>CAPITULO 3</t>
  </si>
  <si>
    <t xml:space="preserve">139.0, 131.0, 105, 83.0 </t>
  </si>
  <si>
    <t>± 5,2 ± 15.7,11,± 9.5</t>
  </si>
  <si>
    <t>En 49 parcelas se tomaron 3 muestras de 0 a 30 cm. Se homogeneizaron las muestras por parcela y se reviso COS por combustion humeda</t>
  </si>
  <si>
    <t>Walkley y Black (1934)</t>
  </si>
  <si>
    <t>Gutirrez2020</t>
  </si>
  <si>
    <t>Gutiérrez, J.; Ordoñez, N.; Bolívar, A.; Bunning, S.; Guevara, M.; Medina, E.; Olivera, C.; Olmedo, G.; Rodríguez, L.; Sevilla, V.; Vargas, R.</t>
  </si>
  <si>
    <t>Estimation of organic carbon in paramo ecosystem soils in Colombia</t>
  </si>
  <si>
    <t>Ecosistemas</t>
  </si>
  <si>
    <t>nordonez@igac.gov.co</t>
  </si>
  <si>
    <t>Asociacion Espanola de Ecologia Terrestre</t>
  </si>
  <si>
    <t>The mountainous ecosystems (in which the paramos are found) occupy a fifth of the earth’s surface, hold 25% of the planet’s biodiversity and supply water to almost half of the world’s population. They are considered strategic for climate change due to their relationship with carbon dioxide capture and storage. With the objective of estimating the organic carbon content in the first 30 cm of depth in the soils (COS) of Colombia páramos, and its relationship with the environmental factors affecting its spatial patterns, by means of digital soil mapping; 390 profiles were taken from the semi-detailed studies of soils in an area of 1 469 980.1 ha (approximately 1.3% of the national area). The missing information of bulk density was estimated by means of pedotransference functions adjusted with the available data. The predictive modeling technique was Random Forest (RF), using 44 environmental covariables as possible predictors that included information on climate, vegetation, relief and soil orders. The quality of the model was evaluated by cross validation (R2 = 0.48 – 0.52). The estimated COS content oscillated between 22 and 338 t.ha-1, this is related to the coverage and use of the soil and the climatic conditions (temperature and precipitation). The map of COS of páramos of Colombia establishes a baseline of this indicator for the ecosystem, provides an overview of the susceptibility to soil degradation and serves as support for the planning of the territory.</t>
  </si>
  <si>
    <t>Digital mapping of soils,Environmental covariates,Pedotransfer functions,Random forest,Spatial prediction,Uncertainty</t>
  </si>
  <si>
    <t>Altiplano, Boyacá, Cundinamarca, Frontino-Tatamá, Macizo, Nariño-Putumayo, Perijá, Santander, Sonsón y Viejo
Caldas-Tolima</t>
  </si>
  <si>
    <t>147.48,163.09,167.34</t>
  </si>
  <si>
    <t>% de incertidumbre para Valor máximo 3.85
Valor mínimo  0.27
Promedio 0.72
Mediana 0.70
Varianza 0.02
Desviación estándar 0.14</t>
  </si>
  <si>
    <t xml:space="preserve">Se utilizaron 390 reportes de suelo con hasta 130 cm de profundidad para modeladar los andes colombianos utilizando un random forest </t>
  </si>
  <si>
    <t>0-130</t>
  </si>
  <si>
    <t>Magdely2021</t>
  </si>
  <si>
    <t>Magdely, Eliana; Paredes, Coral</t>
  </si>
  <si>
    <t>Almacenamiento de carbono orgánico en suelos del humedal Ramsar Laguna de la Cocha</t>
  </si>
  <si>
    <t>10.15517/rbt.v69i1.42959</t>
  </si>
  <si>
    <t>HernndezNez2021</t>
  </si>
  <si>
    <t>Núñez, Héctor Eduardo Hernández; Andrade, Hernán J.; Salazar, Juan Carlos Suárez; José R. Sánchez, A.; David R. Gutiérrez, S.; García, Gustavo Adolfo Gutiérrez; Trujillo, Edwin Trujillo; Casanoves, Fernando</t>
  </si>
  <si>
    <t>Almacenamiento de carbono en sistemas agroforestales en los Llanos Orientales de Colombia</t>
  </si>
  <si>
    <t>Revista de Biología Tropical</t>
  </si>
  <si>
    <t>heduardohn@gmail.com</t>
  </si>
  <si>
    <t>https://revistas.ucr.ac.cr/index.php/rbt/article/view/42959</t>
  </si>
  <si>
    <t>Carbon storage in agroforestry systems in Colombia’s Eastern Plains. Introduction: Coffee,
cocoa crops and pastures for livestock are agricultural activities of economic interest in Colombia. When these
activities are developed under agroforestry systems (AFS), they promote conservation and increase carbon fixa-
tion and, therefore, climate change mitigation. Objective: The study estimated carbon storage in aboveground
biomass, necromass and soil organic carbon under SAF with cocoa (SAF cocoa), SAF with coffee (SAF cof-
fee), silvopastoral systems (SPS) and forest in Mesetas, Meta (Colombia). Methods: Forty-four sampling plots
were established, where dasometric measurements were taken from individuals with a trunk diameter at breast
height (dbh) ≥ 2.5 cm (saplings, trees and large trees), whose values were transformed to carbon with biomass
models and a default carbon fraction. In the three agricultural systems, the number of cocoa and coffee trees and
associated plants was counted, and the type of use (timber, food, combustion) was identified. Results: Carbon
storage showed significant differences (P &lt; 0.0001) among land uses. The highest accumulation was found in
forest, with 216.6 t C ha-1, exceeding in 59, 72 and 73 % to SAF cocoa, SSP and SAF coffee, respectively. The
botanical families Fabaceae, Lauraceae and Primulaceae presented the greatest carbon storage. In SAF cocoa,
the greatest accumulation of carbon was found in species for human food; in SAF coffee and SSP, the greatest
storage was presented by timber species. Conclusion: These results highlight the potential for carbon storage in
the most important productive systems in the Meta department, which is important for designing strategies that
allow for integrating actions to mitigate greenhouse gas emissions and to promote the local peasant economy.</t>
  </si>
  <si>
    <t>forests; climate change; greenhouse effect; agriculture; livestock; mitigation.</t>
  </si>
  <si>
    <t>Mesetas</t>
  </si>
  <si>
    <t>50*20, radios de 15</t>
  </si>
  <si>
    <t>Rectangular y Ciruclar</t>
  </si>
  <si>
    <t>Biomasa aerea, Carbono organico del suelo</t>
  </si>
  <si>
    <t>175.7,59.8 ,15.0 ,24.5</t>
  </si>
  <si>
    <t>± 9.5, ± 4.5, ± 3.1, ± 4.17</t>
  </si>
  <si>
    <t>piezas finas (diámetro ≥ 2 cm y &lt;20 cm) y gruesas (diámetro ≥ 20 cm)</t>
  </si>
  <si>
    <t>Andrade (2016), Chave (2005)</t>
  </si>
  <si>
    <t xml:space="preserve">40.8 ,28.8 ,42.8 ,35.4 </t>
  </si>
  <si>
    <t>± 1.5,± 4.1,± 9.5,± 1.6</t>
  </si>
  <si>
    <t>En SAF
cacao, SAF café y SSP, se tomó una muestra
de suelo compuesta por submuestras tomadas
en puntos al azar; mientras que en el caso de
los bosques fueron tomadas a 2 m de distancia
con un azimut de 45º desde el centro de cada
UMS (IDEAM, 2018)</t>
  </si>
  <si>
    <t>2m</t>
  </si>
  <si>
    <t>45°</t>
  </si>
  <si>
    <t>https://doi.org/10.1016/j.geoderma.2020.114810</t>
  </si>
  <si>
    <t>Rodrguez2021</t>
  </si>
  <si>
    <t>Rodríguez, Leonardo; Suárez, Juan Carlos; Rodriguez, Wilson; Artunduaga, Kelly Johana; Lavelle, Patrick</t>
  </si>
  <si>
    <t>Agroforestry systems impact soil macroaggregation and enhance carbon storage in Colombian deforested Amazonia</t>
  </si>
  <si>
    <t>Geoderma</t>
  </si>
  <si>
    <t>ju.suarez@udla.edu.co</t>
  </si>
  <si>
    <t>We investigated the capacity of different types of agroforestry systems to promote the formation of soil macroaggregates through biological or physical processes. Soil macroaggregates were visually separated according to morphological patterns into invertebrate biogenic (small and large faunal aggregates), root biogenic and physicogenic. We evaluated organic carbon in the different types of aggregates: small and large faunal, root biogenic and physicogenic. In agroforestry systems associating shade trees and crops and sylvopastoral systems, small and large faunal aggregates comprised 58.8 and 42.1% respectively of the soil mass. In general, the highest OC contents were found in root macroaggregates (14.1 g C kg-1, followed by small faunal aggregated (13.7 g C kg-1), large faunal aggregated (13.3 g C kg-1) and physicogenic macroaggregates (10.9 g C kg-1). Overall, the average carbon storage in the different land uses was 91.3 ± 4.1. Highest overall C contents were observed in sylvopastoral systems (131 Mg ha-1), pasture (112.2 Mg ha-1), home gardens (105.8 Mg ha-1), nature regeneration (100.6 Mg ha-1) and secondary forest (100.1 Mg ha-1) these being the most efficient options for storing carbon. We conclude that a sound option to increase soil C storage in aggregated structures of deforested Amazonia soils might be planting trees in pastures transformed into sylvopastoral systems.</t>
  </si>
  <si>
    <t>Agroforestry systems,Soil ecosystem engineers,Soil macroaggregates,Soil organic carbon</t>
  </si>
  <si>
    <t>Amazonia</t>
  </si>
  <si>
    <t>Caquetá</t>
  </si>
  <si>
    <t>Florencia</t>
  </si>
  <si>
    <t>Centro de Investigaciones Ama­
zonicas CIMAZ Macagual – Universidad de la Amazonia</t>
  </si>
  <si>
    <t>1◦ 30′ 4.87′′ N</t>
  </si>
  <si>
    <t>75◦ 39′ 47.16′′ W</t>
  </si>
  <si>
    <t>Bosque humedo</t>
  </si>
  <si>
    <t>3.1.3.1</t>
  </si>
  <si>
    <t>Mosaico de cultivos y vegetación natural</t>
  </si>
  <si>
    <t>Bosque humedo tropical</t>
  </si>
  <si>
    <t>Mg C/ha</t>
  </si>
  <si>
    <t>100.1, 84.3, 82.8, 71,65.5, 105.8,77.7,73.9,100.6,131,112.2</t>
  </si>
  <si>
    <t>0.1</t>
  </si>
  <si>
    <t>Se obtuvo una muestra de 25cm *25*10cm</t>
  </si>
  <si>
    <t>0-10</t>
  </si>
  <si>
    <t>(Walkley and Black, 1934</t>
  </si>
  <si>
    <t>https://doi.org/10.22267/rcia.213802.160</t>
  </si>
  <si>
    <t>Pardo-Rozo2021</t>
  </si>
  <si>
    <t>Pardo-Rozo, Yelly-Yamparli; Andrade-Castañeda, Hernán-Jair; Muñoz-Ramos, Jader; Velásquez-Restrepo, Jaime-Enrique</t>
  </si>
  <si>
    <t>Carbon capture in three land use systems in the Colombian Amazonia</t>
  </si>
  <si>
    <t>Revista de Ciencias Agrícolas</t>
  </si>
  <si>
    <t>111-123</t>
  </si>
  <si>
    <t>y.pardo@udla.edu.co</t>
  </si>
  <si>
    <t>Universidad de Narino</t>
  </si>
  <si>
    <t>The main strategies to combat climate change are reducing greenhouse gas (GHG) emissions and increasing carbon sinks in terrestrial ecosystems such as forests, forest plantations, and agroforestry systems. Deforestation and land use changes in the Amazonia bear great responsibility both for the fixation and emission of GHG. The aim of this research was to estimate the carbon stored in above-ground biomass of forests, rubber plantations (Hevea brasiliensis Muell Arg.), and trees in pastures in the Colombian Amazonia piedmont. Data was collected in 40 farms located in the rural area of the municipality of Belén de Los Andaquíes (Colombia). A total of 174 temporal sampling plots of 250 m2 each were established (80 in forests, 40 in rubber plantations and 54 in pastures with trees). In these plots, the diameter at breast height (dbh) was measured in trees with dbh = 10 cm, and the above-ground biomass was estimated with allometric models for the Colombian Amazon. The carbon stored was 154.1 Mg ha-1 in forests, 1.4 Mg ha-1 in pastures with trees and 138.9 Mg ha-1 in rubber plantations. Positive changes for mitigation of climate change could be achieved through the conversion of agricultural areas, mainly pastures, to forests (+560 Mg CO2 ha-1). Likewise, if deforestation stops in the area, the estimated emissions reduction would be 0.16 Tg CO2 year-1.</t>
  </si>
  <si>
    <t>Above-ground biomass; agroforestry system; allometric model;
climate change; land use; reduction of emissions.</t>
  </si>
  <si>
    <t>Caqueta</t>
  </si>
  <si>
    <t>Belén de los Andaquíes</t>
  </si>
  <si>
    <t>El espacio rural de Belén de los Andaquíes</t>
  </si>
  <si>
    <t xml:space="preserve">1º20’93.3”- 1º12’8.9”N </t>
  </si>
  <si>
    <t>75º50’30”- 75º44’21.5”W</t>
  </si>
  <si>
    <t>250-530</t>
  </si>
  <si>
    <t>Piedemonte amazonico</t>
  </si>
  <si>
    <t>250m2</t>
  </si>
  <si>
    <t>Mg/ha</t>
  </si>
  <si>
    <t xml:space="preserve">154.1,1.4 ,138.9 </t>
  </si>
  <si>
    <t xml:space="preserve"> Error estandar(9.1),(0.05),(9.5)</t>
  </si>
  <si>
    <t>DAP &gt; 10cm, densidad 0.6g/cm3</t>
  </si>
  <si>
    <t>Alvarez (2012) y Hernández (2014)</t>
  </si>
  <si>
    <t>NEE (gC m-2)</t>
  </si>
  <si>
    <t>35, -273</t>
  </si>
  <si>
    <t>Estacion Eddy covariance (CSAT3 sonic anemometer)</t>
  </si>
  <si>
    <t>doi: 10.3389/fenvs.2021.673932</t>
  </si>
  <si>
    <t>Morales-Rincon2021</t>
  </si>
  <si>
    <t>Morales-Rincon, Luis A.; Hernandez, Andrea J.; Rodriguez-Hernandez, Nubia S.; Jimenez, Rodrigo</t>
  </si>
  <si>
    <t>Carbon Exchange and Accumulation in an Orinoco High Plains Native Savanna Ecosystem as Measured by Eddy Covariance</t>
  </si>
  <si>
    <t>Frontiers in Environmental Science</t>
  </si>
  <si>
    <t>rjimenezp@unal.edu.co</t>
  </si>
  <si>
    <t>Frontiers Media S.A.</t>
  </si>
  <si>
    <t>Savanna ecosystems cover ~20% of the total land surface and account for ~30% of the terrestrial global net primary production. They are also highly sensitive to climate change, since their carbon (C) sink capacity may decline under rising temperatures and irregular rainfall. These responses, which will define the future climate role of the savanna ecosystems, are currently not well understood. The Colombian Orinoco River basin (“Llanos”) natural savannas are being rapidly converted to agriculture. The impact of this transformation on C fluxes and accumulation is not clear. It is thus urgent to understand the Llanos natural savanna ecosystem services, including their C cycle and underlying mechanisms. Here we report and analyze 2 years of measurements of carbon dioxide fluxes from a naturally-restored (secondary) Llanos High Plains savanna ecosystem, using eddy covariance. Meteorological conditions, particularly rainfall, were quite variable during the measurement period. During the first year of measurements, the savanna was a weak carbon source (35 gC m-2), while during the second year, the system was a comparatively strong carbon sink (-273 gC m-2), despite receiving less rainfall than during the first year. As expected, the savanna net ecosystem exchange (NEE) was highly dependent on global solar radiation, soil water content, and ecosystem respiration. We found that after ~10 days of nominal drought, i.e., with less than ~5 mm/day of precipitation, the NEE became highly dependent on drought duration. The ecosystem reached a critical condition of low photosynthetic activity after ~60 days of nominal drought. Based on these findings, we developed and applied a simple standard meteorology-based model that properly reproduced the observations. Our results indicate that a shift to a climate with similar total precipitation but split into extreme dry and wet seasons might eventually suppress the savanna C uptake capacity.</t>
  </si>
  <si>
    <t>Orinoco savanna,carbon uptake,drought impact meteorology-based flux model,ecosystem respiration,eddy covariance carbon dioxide fluxes,light response curve</t>
  </si>
  <si>
    <t>Puerto Lopez</t>
  </si>
  <si>
    <t>Agrosavia’s Taluma Experimental Station</t>
  </si>
  <si>
    <t>4°22′24.10″N</t>
  </si>
  <si>
    <t>72°13′19.23″W</t>
  </si>
  <si>
    <t>Puntos</t>
  </si>
  <si>
    <t xml:space="preserve">Flujo de CO2 </t>
  </si>
  <si>
    <t>https://doi.org/10.1016/j.quascirev.2020.106687</t>
  </si>
  <si>
    <t>Benfield2021</t>
  </si>
  <si>
    <t>Benfield, Adam J.; Yu, Zicheng; Benavides, Juan C.</t>
  </si>
  <si>
    <t>Environmental controls over Holocene carbon accumulation in Distichia muscoides-dominated peatlands in the eastern Andes of Colombia</t>
  </si>
  <si>
    <t>Quaternary Science Reviews</t>
  </si>
  <si>
    <t>ajbenﬁeld@psu.edu</t>
  </si>
  <si>
    <t>Elsevier Ltd</t>
  </si>
  <si>
    <t>The long-term carbon (C) and vegetation dynamics of tropical, high-Andean cushion peatlands are poorly understood. Here, we present radiocarbon-dated paleoecological records and modern microclimate data from high-elevation peatlands currently dominated by the cushion plant Distichia muscoides in the páramo (alpine tundra) of the eastern Colombian Andes. Focusing on a well-dated 4300-year-old peat core collected at 4194 m elevation from the Sierra Nevada del Cocuy, we investigated the response of peatland vegetation to hydroclimate changes and environmental controls on C accumulation. In addition, we carried out a regional synthesis of existing C accumulation data from northern Andean peatlands to place our new results in broad geographic and temporal context over the last 17,000 years. Our results show that the current Distichia-dominated peatlands are a recent landscape feature on El Cocuy occurring only during the last ~250 years. The Distichia peatlands have extremely high sediment accumulation rates of up to 1 cm yr-1 and C accumulation rates between 183.7 and 849.5 g C m-2 yr-1, decreasing with the elevation of a site. These rates far exceed an expected modern C accumulation rate of 110 g C m-2 yr-1, calculated by extrapolating an exponential function from a late Holocene average C accumulation rate of 48.6 g C m-2 yr-1 for the northern Andes. This suggests that recent Distichia establishment represents an acceleration of C accumulation at a rate higher than expected from decomposition-related autogenic effects. Before the modern climate warming period, our record indicates that Distichia cushions have only grown intermittently, often after the peatland was flooded with mineral sediments. Mineral sediment deposits at 3290, 2590, 1620, 930, and 860 cal. yr BP correspond with wet intervals from lake-derived records of hydroclimate change in the northern Andes and indicate increases in precipitation and subsequent in-wash of mineral sediments. However, within the last 150 years, mineral sediment deposition has increased in frequency, likely due to warming-induced melting of permanent snow and ice mobilizing exposed fluvio-glacial sediments. Increased mineral nutrients, rising temperatures, and strong diurnal temperature contrast in the tropical mountains may explain the rapid C accumulation rates. Taken together, we show that Andean peatlands have experienced the largest shift in vegetation and C accumulation rates in the last 250 years than at any other time during the last 4000 years.</t>
  </si>
  <si>
    <t>Andes,Carbon,Climate change,Distichia muscoides,Peatlands,Páramo</t>
  </si>
  <si>
    <t>Cocuy</t>
  </si>
  <si>
    <t>Parque Nacional Natural
el Cocuy</t>
  </si>
  <si>
    <t>6.493° N</t>
  </si>
  <si>
    <t>72.351 ° W</t>
  </si>
  <si>
    <t>g C /m2/yr</t>
  </si>
  <si>
    <t>183.7 , 849.5</t>
  </si>
  <si>
    <t>Se obtuvieron 6 nucleos cada 50cm. Tambien se recolectó la materia vegetal</t>
  </si>
  <si>
    <t>0-50-...</t>
  </si>
  <si>
    <t>(Chambers et al.,
2011)</t>
  </si>
  <si>
    <t xml:space="preserve">https://doi.org/10.15446/acag.v71n3.96989 </t>
  </si>
  <si>
    <t>Gasca2022</t>
  </si>
  <si>
    <t>Gasca, Ingrid Alexandra Triana; Ramírez, Diego Mauricio Díaz; Quintero, Victoria Vallejo</t>
  </si>
  <si>
    <t>Evaluation of the impact of potato monoculture on soil quality in the Páramo de Guerrero (Cundinamarca, Colombia)</t>
  </si>
  <si>
    <t>itrianag@ucentral.edu.co</t>
  </si>
  <si>
    <t>Recently, the expansion of the agricultural frontier in the Páramo de Guerrero has transformed and altered this fragile and strategic ecosystem, affecting the provision of environmental goods and services, and leading to a detriment of soil quality. The present study evaluated the effect of potato monoculture (Solanum tuberosum L.) on soil quality in the Páramo de Guerrero. A total data set (CTD) of 14 edaphic variables in three agroecosystems was compared: (1) conventional potato monoculture (SC), (2) resting soil (SD), and (3) forest (BO). Subsequently, based on the CTD, a minimum data set (CMD) of 11 physicochemical and microbiological indicators was used in the soil quality index (ICS). The highest ICS values were obtained in BO (1.11) and SD (1.10) in comparison with SC (1.07). The results showed that agricultural practices in the Paramo have affected soil quality, mainly attributed to lower content of organic carbon (C), soil moisture and enzymatic activity (catalase) in the SC. Likewise, through the diagnostic guide in the field, alterations in physical indicators such as resistance to breakage, presence of hardened layers and decrease in infiltration speed were evidenced.</t>
  </si>
  <si>
    <t>anthropogenic activity,conventional agriculture,minimum data set,quality indicators,soil quality index</t>
  </si>
  <si>
    <t>Zipaquira</t>
  </si>
  <si>
    <t>Páramo de
Guerrero oriental y occidental</t>
  </si>
  <si>
    <t>05°07´34,3¨ N,</t>
  </si>
  <si>
    <t>74°03´6,4¨ W</t>
  </si>
  <si>
    <t>3*3 m</t>
  </si>
  <si>
    <t>5.18, 9.32, 6.61</t>
  </si>
  <si>
    <t>59.83 ton C/ha, 120.44 ton C/ha, 87.25 ton C/ha</t>
  </si>
  <si>
    <t>Se selecionaron 3 areas, plantacion de papa, area en recuperacion y relicto de bosque. en cada uno se hizo dos parcelas de 3x3 y se tomaron dos muestras de 0-15cm</t>
  </si>
  <si>
    <t>0-15</t>
  </si>
  <si>
    <t>Vallejo-Quintero et al. (2018) y
por Afanador et al. (2020)</t>
  </si>
  <si>
    <t>https://doi.org/10.22490/21456453.5531</t>
  </si>
  <si>
    <t>Orozco-Hueje2022</t>
  </si>
  <si>
    <t>Orozco-Hueje, Daniela; Barreto-Rojas, Diana Milena; González, Juan Manuel Trujillo; Silva-Parra, Amanda; Serrano-Gómez, Marlon; Castillo-Monroy, Edgar Fernando; Torres-Mora, Marco Aurelio</t>
  </si>
  <si>
    <t>Sumideros naturales de carbono: un estudio de caso en morichales de la altillanura colombiana</t>
  </si>
  <si>
    <t>Revista de Investigación Agraria y Ambiental</t>
  </si>
  <si>
    <t>daniela.orozco@unillanos.edu.co</t>
  </si>
  <si>
    <t>Universidad Nacional Abierta y a Distancia</t>
  </si>
  <si>
    <t>Contextualización: los morichales son ecosistemas estratégicos porque almacenan una gran cantidad de carbono orgánico, contribuyen a la mitigación de gases de efecto invernadero y a la mitigación del cambio climático. Vacío de la investigación: la estimación de las reservas de carbono en ecosistemas de morichal no se han estudiado en la Orinoquía colombiana. Propósito: el objetivo de este estudio fue estimar las reservas de carbono en biomasa, necromasa y suelo de un morichal conservado de la altillanura colombiana. Metodología: se muestrearon tres sectores con diferente etapa fenológica predominante: palmas senescentes, adultas y juveniles, y en cada sector se establecieron dos transectos, los cuales se dividieron en dos subparcelas [interior y ecotono]. Para la medición de la biomasa aérea se midieron individuos de M. flexuosa con diámetro a la altura del pecho (DAP) &gt;10 cm y especies arbóreas y arbustivas con DAP&gt;2,5 cm; en el ecotono se incluyeron las pasturas. La necromasa se evaluó considerando la caída, la que se mantiene en pie y la particulada. En ambos compartimientos se aplicaron ecuaciones alométricas y se multiplicaron por el factor de carbono. Las reservas de carbono orgánico en el suelo se estimaron en dos profundidades [0,0 – 0,30 m y 0,30 – 0,60m]. Resultados y conclusiones: los resultados muestran que la reserva de carbono en un morichal conservado de la altillanura colombiana alcanza los 590,8 Mg C/ha. El suelo presentó la más alta contribución con 436,5 Mg C/ha  [74 % del total], seguido por la biomasa y necromasa [119,4 y 35,0 Mg C/ha], 20 y 6 % del total, respectivamente. Estos resultados muestran el papel fundamental de los ecosistemas de morichal como sumideros de carbono y su importancia para la mitigación del cambio climático, además de proveer otros beneficios ambientales para las comunidades.</t>
  </si>
  <si>
    <t>biomass, carbon, climate
change, ecosystem, nature reserve, or-
ganic matter, soil.</t>
  </si>
  <si>
    <t>Puerto Gaitan</t>
  </si>
  <si>
    <t>Finca Maracacias</t>
  </si>
  <si>
    <t xml:space="preserve">4°10’27.4”N </t>
  </si>
  <si>
    <t>72°02’27.0”W</t>
  </si>
  <si>
    <t>Seminatural, manejado</t>
  </si>
  <si>
    <t>20*50m</t>
  </si>
  <si>
    <t>Biomasa aerea, Carbono organico del suelo, Materia Organica Muerta</t>
  </si>
  <si>
    <t>D.E.
[±3,09 Mg C/ha]</t>
  </si>
  <si>
    <t>Palma con DAP&gt; 10, cualquier otro &gt; 2.5, altura de la planta</t>
  </si>
  <si>
    <t>Goodman et al. (2013) , Álvarez et al. (2012)</t>
  </si>
  <si>
    <t>255.4,181.1</t>
  </si>
  <si>
    <t>D. E. [±13,60 MgC/ha]</t>
  </si>
  <si>
    <t>Se tomaron muestras a 30 y 60 cm con un cilindro de volumen conocido. Estas muestras fueron tamizadas a 2mm para retirar cualquier fragment grande. luego se obtuvo el carbono organico con oxidación sulfocrómica</t>
  </si>
  <si>
    <t>0-30-60</t>
  </si>
  <si>
    <t>Norma ISO 14235</t>
  </si>
  <si>
    <t>D.E. [±1,35 Mg C/ha]</t>
  </si>
  <si>
    <t>Honorio et al. (2015) Chao et al. (2009)
y Fonsêca et al. (2019)</t>
  </si>
  <si>
    <t>Se
establecieron
transectos
lineales
dentro de cada subparcela para medir
la necromasa caída y en pie. La necro-
masa caída. Se midió el diá-
metro mayor a 3 cm de la necromasa
interceptada por el transecto lineal, en
la necromasa en pie se midió también
la altura.</t>
  </si>
  <si>
    <t>http://doi.org/10.31910/rudca.v25.n2.2022.1846</t>
  </si>
  <si>
    <t>Walteros-Torres2022</t>
  </si>
  <si>
    <t>Walteros-Torres, Ingrid; Palacios-Pacheco, Sofía; Cely, German Eduardo; Serrano, Pablo Antonio; Moreno-Pérez, Diego</t>
  </si>
  <si>
    <t>Influence of land use change on soil organic carbon stocks in the Parque Natural Regional Cortadera, Boyacá (Colombia)</t>
  </si>
  <si>
    <t>Revista U.D.C.A Actualidad and Divulgacion Cientifica</t>
  </si>
  <si>
    <t>ingrid.walteros@uptc.edu.co</t>
  </si>
  <si>
    <t>Universidad de Ciencias Aplicadas y Ambientales U.D.C.A</t>
  </si>
  <si>
    <t>The paramos accumulate high stocks of soil organic carbon (SOC), influenced by the climatic and biogeochemical conditions of the ecosystem. However, their progressive conversion to crops, livestock, or mining has a direct impact on the SOC stocks. To determine the effect of land use change on the variability of SOC stocks, monitoring of SOC content was conducted between the years 2013, 2018, and 2020 in the Parque Natural Regional Cortadera. Permanent sampling plots (PPS) located under three different land uses were studied: conserved, recovering, and intervened. To do so, samples of soil organic carbon and bulk density at two depths were analyzed (0-15 cm and 15-30 cm). The conserved PPS showed the highest SOC contents, with maximum values of 290.37; 199.22, and 257.5 tC ha-1 for each of the years under study; follow by the recovery PPM that presented COS values of 215.3 tC ha-1 in 2020, in contrast to the intervened PSP that showed minimum contents of 15.50; 34.01 and 88.06 tC ha-1. Furthermore, the highest SOC contents were found at 15-30 cm depth. These factors emphasize the importance of carrying out actions focused on protecting strategic ecosystems such as paramos, taking into account the continuous threats related to the transformation of the landscape and, consequently, the possibility of providing ecosystem functions and services related to carbon capture and climate regulation.</t>
  </si>
  <si>
    <t>Ecosystem services,Environmental Monitoring,Land use change,Organic carbon,Paramo</t>
  </si>
  <si>
    <t>1*1 m</t>
  </si>
  <si>
    <t>290.37, 64.32, 79.94, 106.35, 65.00, 117.4, 15.50, 34.01,88.06</t>
  </si>
  <si>
    <t>cajuelas de 50 cm de ancho por 50 cm de largo y 50 cm de
profundo, con el fin de tomar muestras para carbono orgánico</t>
  </si>
  <si>
    <t>Walkley-Black</t>
  </si>
  <si>
    <t>https://doi.org/10.1007/s10113-022-01980-6</t>
  </si>
  <si>
    <t>Alavi-Murillo2022</t>
  </si>
  <si>
    <t>Alavi-Murillo, Gavi; Diels, Jan; Gilles, Jere; Willems, Patrick</t>
  </si>
  <si>
    <t>Soil organic carbon in Andean high-mountain ecosystems: importance, challenges, and opportunities for carbon sequestration</t>
  </si>
  <si>
    <t>Regional Environmental Change</t>
  </si>
  <si>
    <t>gavi.alavimurillo@kuleuven.be</t>
  </si>
  <si>
    <t>Springer Science and Business Media Deutschland GmbH</t>
  </si>
  <si>
    <t>The Andes region, a unique high-mountain environment, includes a wide variety of ecosystems. A significant portion of the population depends on soil ecosystem services that are highly influenced by local soil quality. Soil quality is frequently evaluated through soil organic carbon (SOC) concentration (main component of soil organic matter, SOM). However, SOM and SOC are poorly studied in the South American Andes. By reviewing the available literature with focus on SOC, we identified gaps in data and information needed to study soil functioning as a key factor for carbon sequestration along food production and food and water security. Despite reduced data availability and large reported variability in SOC concentration, we found consensus about large SOC accumulation in peatlands with outstanding potential as a carbon sink but also as a carbon source. In addition, important reservoirs in forests and grasslands were reported. In undisturbed lands, SOC is largely conserved by the region’s low prevailing temperatures due to high elevations. However, the SOC stocks are potentially endangered by global warming. Results suggest that local soil management (fallow, crop rotation, terraces) might have positive impacts on SOC concentration, however, limited data and studies were available to be conclusive and some contradictory results are reported. As expected, soil bulk density is strongly and negatively correlated with SOC while the high negative correlation with pH demonstrates large SOC concentration in acidic soils. Total nitrogen shows poor relation with SOC in Andosols but is highly correlated with Cambisols, Regosols, and Phaeozems with a variation under land cover and use. Our results demonstrate that it is of paramount importance to develop more research on Andean soils to support the conservation and management of this valuable resource, to guide land managers/decision-makers for the integrated planning of Andean ecosystems and to explore their potential functions as C sink, which was practically not found in our inventory.</t>
  </si>
  <si>
    <t>Andes,Highlands,SOC,Soil organic carbon,Soil organic matter</t>
  </si>
  <si>
    <t>Toda la cordillera de los andes</t>
  </si>
  <si>
    <t>Localizacion aproximada a nivel de pais</t>
  </si>
  <si>
    <t>Literatura</t>
  </si>
  <si>
    <t>g/kg</t>
  </si>
  <si>
    <t>mas alto 500g kg mas bajo 132g kg</t>
  </si>
  <si>
    <t>Revision literaria, espacializacion de datos obtenidos por publicaciones anteriores</t>
  </si>
  <si>
    <t>Herrera2022</t>
  </si>
  <si>
    <t>Herrera, Diego Abril; Delgado, Jairo Mora; Restrepo, Lucia Martínez</t>
  </si>
  <si>
    <t>Carbon economy: CO2 accounting in live fences of high-Andeandairy production systems in Colombia</t>
  </si>
  <si>
    <t>AGROFORESTERÍA NEOTROPICAL N°</t>
  </si>
  <si>
    <t>2022</t>
  </si>
  <si>
    <t>diegoabrilherrera@live.com</t>
  </si>
  <si>
    <t>Resumen La economía del carbono constituye un tema emergente en el análisis de los sistemas de producción pecuarios. Los sistemas ganaderos se encuentran en constante crecimiento por lo que es frecuente la labranza, deforestación y quema de bosques para ampliar la extensión de tierra y, por ende, las pasturas, siendo una de las causas por las cuales se han aumentado las emisiones de gases de efecto invernadero. Sin embargo, la siembra de árboles y arbustos en los potreros ayudan a disminuir estas emisiones, debido a que estos tienen la capacidad de almacenar y fijar carbono en cantidades considerables. Por lo anterior, el objetivo de esta investigación fue determinar la capacidad de almacenamiento de carbono en la biomasa arriba del suelo de árboles de la especie Alnus acuminata dispuestos en cercas vivas de cuatro sistemas productivos lecheros ubicados en el Municipio de Guatavita, Colombia. Los resultados evidenciaron contenidos de carbono almacenado que oscilan entre 0,026 a 0,100 tC y contenidos de carbono fijado (CO2) que oscilan entre 0,094 a 0,369 tCO2 en trayectos de 98 a 245 metros lineales de cercas vivas. Estos resultados fueron proyectados a 400 metros lineales simulando el encerramiento total de una hectárea de pastura. Se concluye que los sistemas ganaderos estudiados, tienen amplia capacidad de almacenar y fijar C en la biomasa forestal que compone cada predio pudiendo mejorarse aumentando la densidad de siembra y concientizando a los productores sobre el valioso servicio ecosistémico que representan los árboles. Abstract The carbon economy is an emerging issue in the analysis of livestock production systems. Livestock systems are constantly growing, so farming, deforestation and forest burning are frequent to expand the extension of land and, therefore, pastures, being one of the reasons why gas emissions have increased. greenhouse. However, planting trees and shrubs in pastures help reduce these emissions, since they have the capacity to store and fix carbon in considerable quantities. Therefore, the objective of this descriptive research was to determine the carbon storage and fixation capacity in the above-ground biomass of trees of the Alnus acuminata species arranged in living fences of</t>
  </si>
  <si>
    <t>Cambio Climático,Ganadería,Gases Efecto Invernadero,Guatavita,Palabras clave: Árboles</t>
  </si>
  <si>
    <t>Guatavita</t>
  </si>
  <si>
    <t>Provincia del Guavio</t>
  </si>
  <si>
    <t>1.5,4,1,0.36 ha</t>
  </si>
  <si>
    <t>0.47</t>
  </si>
  <si>
    <t>kg/arbol</t>
  </si>
  <si>
    <t xml:space="preserve">3,89 ±
3.89,1.83, 3.35 , 3.33 </t>
  </si>
  <si>
    <t>± 0.72,  ± 0.08,  ± 0.41, ± 0.48</t>
  </si>
  <si>
    <t>Se tomo el diametro a la altura del pecho y la altura de todos los arboles Alnus
acuminata</t>
  </si>
  <si>
    <t>Álvarez (2012)</t>
  </si>
  <si>
    <t>https://doi.org/10.1007/s11258-023-01356-8</t>
  </si>
  <si>
    <t>Martnez-Amigo2023</t>
  </si>
  <si>
    <t>Martínez-Amigo, Violeta; Benavides, Juan C.</t>
  </si>
  <si>
    <t>Carbon balance shift in mountain peatlands along a gradient of grazing disturbance in the tropical Andes (Colombia)</t>
  </si>
  <si>
    <t>1049-1058</t>
  </si>
  <si>
    <t>martinez_v@javeriana.edu.co</t>
  </si>
  <si>
    <t>Springer Science and Business Media B.V.</t>
  </si>
  <si>
    <t>High-elevation cushion peatlands are typical ecosystems of the Andes above 4000 m of altitude, with an important role in hydrology and global carbon sequestration. In Tropical Andean context, grazing livestock is one of the main threats to cushion peatlands, altering the vegetation and the storage carbon function. The aim of this research is to understand how grazing influences cushion peatland functioning by identifying ecological thresholds for carbon balance process. The study was carried out in four Andean peatlands in the northern part of Colombian Andes during 2019–2020. We established 30 plots of 1 m2 where water table level, vegetation cover, and grazing disturbance were monitored. We also measured CO2 fluxes using an infrared gas analyzer connected to a closed static chamber, which registered net ecosystem exchange and respiration data. Considerable variation in the conservation status of Distichia muscoides cushions was found within the sampled peatlands, reflecting an heterogeneous signal of grazing disturbance that is evident at the plot-specific scale. Decreasing water table level was related with changes in dominant vegetation, from compact cushion species to grasses proliferation, exacerbating disturbance effects and carbon emissions. Mixed-effects logistic regression models showed a carbon balance shift, from CO2 sink to net emitter, in plots with high disturbance intensity and low D. muscoides cover. This study provides information for a better understanding of mountain peatlands functioning in the Tropical Andes and underlines the key role of D. muscoides cushions and the water table in carbon balance shift.</t>
  </si>
  <si>
    <t>Andes,Carbon balance,Distichia muscoides,Ecological thresholds,Grazing,Mountain peatlands</t>
  </si>
  <si>
    <t>The data presented in this study are available on request from the corresponding author.</t>
  </si>
  <si>
    <t>Cocuy
Guican</t>
  </si>
  <si>
    <t>PNN Sierra Nevada del Cocuy</t>
  </si>
  <si>
    <t>Chapetona</t>
  </si>
  <si>
    <t>6° 29′ 39.44″ N</t>
  </si>
  <si>
    <t>72° 21′ 03.77″ W</t>
  </si>
  <si>
    <t>Turbera de alta montaña tropical</t>
  </si>
  <si>
    <t>Humedales</t>
  </si>
  <si>
    <t xml:space="preserve">412 turberas y prados turbosos </t>
  </si>
  <si>
    <t xml:space="preserve">Turbera andina </t>
  </si>
  <si>
    <t>Turba</t>
  </si>
  <si>
    <t>privado</t>
  </si>
  <si>
    <t>1m2</t>
  </si>
  <si>
    <t>cuadrada</t>
  </si>
  <si>
    <t>5 veces entre 2019 y 2020</t>
  </si>
  <si>
    <t>NEE (g  CO2  m−2  h−1)
 RE (g  CO2  m−2 h-1)
 GPP (g  CO2  m−2  h−1)</t>
  </si>
  <si>
    <t>NEE:  − 0.08
RE: 0.44
GPP: -0.50</t>
  </si>
  <si>
    <t>NEE_ SD:  0.04
RE_ SD: 0.1
GPP_SD: 0.2</t>
  </si>
  <si>
    <t xml:space="preserve">Camaras estaticas:  (Hutchinson and Mosier 1981), TRANSPARENTE
60 cm diametro, 50 altura, 124segundos, luz-oscuridad
EGM4 PP SYSTEMS </t>
  </si>
  <si>
    <t>https://doi.org/10.1016/j.tfp.2023.100380</t>
  </si>
  <si>
    <t>Caldern-Balczar2023</t>
  </si>
  <si>
    <t>Calderón-Balcázar, Alejandro; Cárdenas, Carlos D.; Díaz-Vasco, Oswaldo; Fandiño, Emilio; Márquez, Tatiana; Pizano, Camila</t>
  </si>
  <si>
    <t>Biomass and carbon stocks of four vegetation types in the Llanos Orientales of Colombia (Mapiripán, Meta)</t>
  </si>
  <si>
    <t>Trees, Forests and People</t>
  </si>
  <si>
    <t xml:space="preserve"> Alejandro.Calderon@tufts.edu</t>
  </si>
  <si>
    <t>Agricultural lands occupy 38% of global land surface and are expected to grow significantly in the next years, increasing the need for more sustainable practices, as well as better informed conservation practices of natural ecosystems. Carbon stocks are important estimates for the assessment of potential emissions caused by deforestation, and therefore widely used in strategies to mitigate climate change in agroforestry systems. Although research on biomass and carbon accumulation in agricultural lands is well documented, comparisons with adjacent natural forest areas are uncommon, mainly in tropical regions. Here, we used forest inventory data and allometric models to estimate biomass and carbon stocks of natural vegetation types (gallery forest-GF, morichal-MOR, and savanna-SAV) and oil palm (Elaeis guineensis) crops in the Orinoquía bioregion, in Eastern Colombia. We found that natural forests (GF and MOR) hold 542.45 Mg ha-1 of aboveground biomass, whereas oil palm plantations store 284.87 Mg ha-1. Morichal vegetation, commonly known as peat swamp forests, accumulated the highest aboveground biomass and carbon per hectare among all vegetation types (natural and agricultural), with an estimate of 402.76 Mg ha-1. Thus, although oil palm crops are great reservoirs of biomass and carbon at the landscape level, it is the combination of natural and agricultural lands which assure highest carbon sequestration in the study area. These results highlight the importance of preserving natural areas in agricultural landscapes for climate mitigation and conservation of biodiversity, which may jointly benefit plantations sustainable development.</t>
  </si>
  <si>
    <t>Agricultural landscape,Biomass,Carbon stock,Gallery forest,Savanna</t>
  </si>
  <si>
    <t>https://doi.org/10.3390/plants12040955</t>
  </si>
  <si>
    <t>Benavides2023</t>
  </si>
  <si>
    <t>Benavides, Juan C.; Vitt, Dale H.; Cooper, David J.</t>
  </si>
  <si>
    <t>The High-Elevation Peatlands of the Northern Andes, Colombia</t>
  </si>
  <si>
    <t>Plants</t>
  </si>
  <si>
    <t>jubenavides@javeriana.edu.co</t>
  </si>
  <si>
    <t>MDPI</t>
  </si>
  <si>
    <t>Andean peatlands are important carbon reservoirs for countries in the northern Andes and have a unique diversity. Peatland plant diversity is generally related to hydrology and water chemistry, and the response of the vegetation in tropical high-elevation peatlands to changes in elevation, climate, and disturbance is poorly understood. Here, we address the questions of what the main vegetation types of peat-forming vegetation in the northern Andes are, and how the different vegetation types are related to water chemistry and pH. We measured plant diversity in 121 peatlands. We identified a total of 264 species, including 124 bryophytes and 140 vascular plants. We differentiated five main vegetation types: cushion plants, Sphagnum, true mosses, sedges, and grasses. Cushion-dominated peatlands are restricted to elevations above 4000 m. Variation in peatland vegetation is mostly driven be elevation and water chemistry. Encroachment of sedges and Sphagnum sancto-josephense in disturbed sites was associated with a reduction in soil carbon. We conclude that peatland variation is driven first by elevation and climate followed by water chemistry and human disturbances. Sites with higher human disturbances had lower carbon content. Peat-forming vegetation in the northern Andes was unique to each site bringing challenges on how to better conserve them and the ecosystem services they offer.</t>
  </si>
  <si>
    <t>Andes,Distichia muscoides,Sphagnum,human disturbances,mountain peatlands,peatlands,plant diversity</t>
  </si>
  <si>
    <t>Si
 https://github.com/jcbenavides/Peatveg</t>
  </si>
  <si>
    <t>Inirida
Putumayo
Caqueta
Mitu
Caruru
San Jose del Guaviare</t>
  </si>
  <si>
    <t>10*10 m</t>
  </si>
  <si>
    <t>121 turberas</t>
  </si>
  <si>
    <t>gCm -2</t>
  </si>
  <si>
    <t>Cojines: 1000 a 4500
Juncos: 900 a 3000
Pastos: 1200 a 3800
Musgos: 1500 a 2000
Sphagnum: 910 a 2500</t>
  </si>
  <si>
    <t>Cojines: 10 a 45
Juncos: 9 a 30
Pastos: 12 a 38
Musgos: 15 a 20
Sphagnum: 9.1 a 25</t>
  </si>
  <si>
    <r>
      <t>F 4115 = 3,78, </t>
    </r>
    <r>
      <rPr>
        <i/>
        <sz val="11"/>
        <rFont val="Calibri"/>
        <family val="2"/>
        <scheme val="minor"/>
      </rPr>
      <t>p</t>
    </r>
    <r>
      <rPr>
        <sz val="11"/>
        <rFont val="Calibri"/>
        <family val="2"/>
        <scheme val="minor"/>
      </rPr>
      <t> = 0,006</t>
    </r>
  </si>
  <si>
    <t>Los puntos de muestreo en cada turbera por tipo de vegetación</t>
  </si>
  <si>
    <t>Uso de cilindro de acero inoxidable de 10 cm de largo y 5 cm de diámetro.</t>
  </si>
  <si>
    <t>Perdida por ignición</t>
  </si>
  <si>
    <t>CastroAmado2023</t>
  </si>
  <si>
    <t>Amado, Diego Castro; Duarte, Jorge E. Gualdrón; del Pilar Moreno, Martha</t>
  </si>
  <si>
    <t>VALORES DE REFERENCIA DEL CARBONO</t>
  </si>
  <si>
    <t>ANLA</t>
  </si>
  <si>
    <t>https://doi.org/10.1007/s10533-023-01057-4</t>
  </si>
  <si>
    <t>Hergoualch2024</t>
  </si>
  <si>
    <t>Hergoualc’h, Kristell; van Lent, Jeffrey; Dezzeo, Nelda; Verchot, Louis V.; van Groenigen, Jan Willem; Gonzales, Mariela López; Grandez-Rios, Julio</t>
  </si>
  <si>
    <t>Major carbon losses from degradation of Mauritia flexuosa peat swamp forests in western Amazonia</t>
  </si>
  <si>
    <t>Biogeochemistry</t>
  </si>
  <si>
    <t>327-345</t>
  </si>
  <si>
    <t>k.hergoualch@cifor-icraf.org</t>
  </si>
  <si>
    <t>Tropical peat swamp forests are major global carbon (C) stores highly vulnerable to human intervention. In Peruvian Amazonia, palm swamps, the prevalent peat ecosystem, have been severely degraded through recurrent cutting of Mauritia flexuosa palms for fruit harvesting. While this can transform these C sinks into significant sources, the magnitude of C fluxes in natural and disturbed conditions remains unknown. Here, we estimated emissions from degradation along a gradient comprising undegraded (Intact), moderately degraded (mDeg) and heavily degraded (hDeg) palm swamps. C stock changes above- and below-ground were calculated from biomass inventories and peat C budgets resulting from the balance of C outputs (heterotrophic soil respiration (Rh), dissolved C exports), C inputs (litterfall, root mortality) and soil CH4 emissions. Fluxes spatiotemporal dynamics were monitored (bi)monthly over 1–3 years. The peat budgets (Mg C ha-1 year-1) revealed that medium degradation reduced by 88% the soil sink capacity (from - 1.6 ± 1.3 to - 0.2 ± 0.8 at the Intact and mDeg sites) while high degradation turned the soil into a high source (6.2 ± 0.7 at the hDeg site). Differences stemmed from degradation-induced increased Rh (5.9 ± 0.3, 6.2 ± 0.3, and 9.0 ± 0.3 Mg C ha-1 year-1 at the Intact, mDeg, and hDeg sites) and decreased C inputs (8.3 ± 1.3, 7.1 ± 0.8, and 3.6 ± 0.7 Mg C ha-1 year-1 at the same sites). The large total loss rates (6.4 ± 3.8, 15.7 ± 3.8 Mg C ha-1 year-1 under medium and high degradation), originating predominantly from biomass changes call for sustainable management of these peatlands.</t>
  </si>
  <si>
    <t>CO2 emissions,Carbon budget,Heterotrophic respiration,Litterfall,Palm swamp peatlands,Soil respiration</t>
  </si>
  <si>
    <t>Iquitos</t>
  </si>
  <si>
    <t>Parque natural Quistococha.</t>
  </si>
  <si>
    <t xml:space="preserve"> 03° 49.949′  S</t>
  </si>
  <si>
    <t>073° 18.851′ W</t>
  </si>
  <si>
    <t xml:space="preserve">5*5m </t>
  </si>
  <si>
    <t xml:space="preserve">97.7 , 67.6 , 36.8 </t>
  </si>
  <si>
    <t>± 15.0,± 11.2,± 10.5</t>
  </si>
  <si>
    <t>Usaron un inventario de carbono</t>
  </si>
  <si>
    <t xml:space="preserve">− 7.9,− 6.0 ,9.9 </t>
  </si>
  <si>
    <t>− 7.9 ± 3.3,− 6.0 ± 2.9,9.9 ± 2.8</t>
  </si>
  <si>
    <t>± 3.3, ± 2.9, ± 2.8</t>
  </si>
  <si>
    <t>Mg/ha/mo</t>
  </si>
  <si>
    <t xml:space="preserve">0.09 - 1.14 </t>
  </si>
  <si>
    <t>0.2-0.9</t>
  </si>
  <si>
    <t>https://doi.org/10.1007/s11027-023-10089-y</t>
  </si>
  <si>
    <t>Hribljan2024</t>
  </si>
  <si>
    <t>Hribljan, John A.; Hough, Moira; Lilleskov, Erik A.; Suarez, Esteban; Heckman, Katherine; Planas-Clarke, Ana Maria; Chimner, Rodney A.</t>
  </si>
  <si>
    <t>Elevation and temperature are strong predictors of long-term carbon accumulation across tropical Andean mountain peatlands</t>
  </si>
  <si>
    <t>Mitigation and Adaptation Strategies for Global Change</t>
  </si>
  <si>
    <t>jhribljan@unomaha.edu</t>
  </si>
  <si>
    <t>Mountain peatlands are understudied globally, especially in tropical regions such as the Andes. Their high abundance across the landscape and thick carbon (C)-rich soils establish them as regionally important C reservoirs. However, they are at high risk of degradation due to unsustainable land use and climate change. Mitigation of these threats requires detailed inventories of C stocks present and improved understanding of the major drivers of long-term C accumulation in these ecosystems. We cored 24 peatlands located between 3000 and 4800 m elevation across Colombia, Ecuador, Peru, and Bolivia, calculated C storage and long-term and recent apparent rate of C accumulation (LARCA and RARCA, respectively), and tested their relationships to environmental variables (elevation, temperature, precipitation, and solar radiation). The peatlands had a mean thickness of 4.7 m (range, 0.7-11.25 m). The mean age of peatland was 7918 yrs B.P., with a range from 490 to 20,000 yrs B.P. The mean C stock was 1743 Mg ha-1 and did not significantly vary by climatic region or basal age but did increase with elevation. LARCA was best predicted by age and elevation, while RARCA was negatively related to mean annual temperature. These findings indicate that peatlands in the tropical Andes store thick deposits of soil C that are likely influenced by temperature, making them vulnerable to changes in climate. To inform climate policy, there is a need for science that will determine the potential for adaptation and mitigation treatments to increase the resilience of these C-rich ecosystems to climate change.</t>
  </si>
  <si>
    <t>Accumulation rate,Andes,Carbon,Mountain peatlands,Peat</t>
  </si>
  <si>
    <t xml:space="preserve">Los andes de peru, ecuador, bolivia y colombia </t>
  </si>
  <si>
    <t>&gt; 3000</t>
  </si>
  <si>
    <t>Paramo, Turbera, Puna</t>
  </si>
  <si>
    <t>1900
1355
2008
1815</t>
  </si>
  <si>
    <t>Standard error ± 225 SE</t>
  </si>
  <si>
    <t>Se obtenian segmentos cada 10 cm hasta completar un metro. Fueron secadas y luego se calculo el C con perdida por ignicion  usando un gramo de muestra</t>
  </si>
  <si>
    <t>0-100</t>
  </si>
  <si>
    <t>10.1038/s43247-025-02674-7</t>
  </si>
  <si>
    <t>Wang2025</t>
  </si>
  <si>
    <t>Wang, Yuwan; Gallego-Sala, Angela; Bird, Michael I.; Moss, Patrick; McGowan, Hamish A.; Benavides, Juan C.; Coronado, Eurídice N. Honorio; Feldpausch, Ted R.</t>
  </si>
  <si>
    <t>Wildfire legacies on pyrogenic carbon stocks in Amazonian peatlands</t>
  </si>
  <si>
    <t>Communications Earth and Environment</t>
  </si>
  <si>
    <t>yw637@exeter.ac.uk</t>
  </si>
  <si>
    <t>Nature Publishing Group</t>
  </si>
  <si>
    <t>Amazonian peatlands are carbon-rich ecosystems that act as long-term carbon sinks but have faced increasing fire risks in recent decades. As a legacy of past fires, the contribution of pyrogenic carbon (PyC) to carbon cycling in these peatlands remains poorly understood. Here, we assess PyC accumulation variability using six cores spanning peatlands in northwestern Amazonia using hydrogen pyrolysis. We also estimate the PyC stock for the entire Amazonian peatlands by combining our field dataset with published sources. The PyC to total organic carbon ratio averaged 1.2% across our sites and increased with peat age. We estimate a total peatland PyC stock of 0.73 ± 0.61 Pg for the Amazon Basin, representing 1.6% of their TOC stock. Due to the slower turnover of PyC in peatland ecosystems, our findings indicate the importance of PyC generated by past fires and highlight the potential long-term carbon sequestration role of PyC in the future carbon cycle.</t>
  </si>
  <si>
    <t>Guainia</t>
  </si>
  <si>
    <t>Inirida</t>
  </si>
  <si>
    <t>Turbera Inirida bosque inundado</t>
  </si>
  <si>
    <t>Turbera boscosa</t>
  </si>
  <si>
    <t>Turbera amazonica bosque inundado</t>
  </si>
  <si>
    <t>Nucleo de turba</t>
  </si>
  <si>
    <t>Carbono organico del suelo Carbono pirogenico</t>
  </si>
  <si>
    <t>2018-2022</t>
  </si>
  <si>
    <t>31.4</t>
  </si>
  <si>
    <t>NA Valor promedio de cuenca falta BD especifica</t>
  </si>
  <si>
    <t>Muestreo con nucleo ruso D-section analisis HyPy</t>
  </si>
  <si>
    <t>Pirolisis con hidrogeno HyPy</t>
  </si>
  <si>
    <t>https://doi.org/10.1007/s10980-025-02159-0</t>
  </si>
  <si>
    <t>Veloza2025</t>
  </si>
  <si>
    <t>Veloza, Paula; Rozo, Anamaría; Segura, Leonardo; Cabrera, Marian; Niño, Freddy; Prado-Castillo, Luis Fernando; Benavides, Juan C.</t>
  </si>
  <si>
    <t>Spatial patterns of above-ground biomass in tropical alpine páramo ecosystems using allometric models and LiDAR data</t>
  </si>
  <si>
    <t>Landscape Ecology</t>
  </si>
  <si>
    <t>Context: Páramos, high-elevation alpine ecosystems found in the northern Andes, are a biodiversity hotspot and play a crucial role in climate change mitigation due to their carbon storage capacity. Above-ground biomass (AGB) serves as a key indicator of ecosystem health and carbon sequestration potential. Accurate estimates of above-ground biomass are essential for understanding the variability of carbon storage across different páramo vegetation types, successional stages and degradation impacts supporting the design of effective conservation and management strategies. Objectives: We analyzed the main patterns of AGB across different vegetation types and plant growth forms combining methods of direct field measurements and UAV-LiDAR. This study was conducted into conserved area named El Cocuy National Natural Park, within Páramos ecosystems in the northeast of the Colombian Andes. Methods: We measured the AGB of the different plant growth forms and related that to relevant allometric traits by using simple linear models. Using the allometric equations we estimated the AGB of 30 plots in areas dominated by different páramo vegetation types. Airborne LiDAR data was collected from these plots and canopy height and density metrics were processed to determine landscape-level above-ground biomass calibrated with the ground measurements. Results: We found that plant height, basal diameter, and leaf area explained AGB variation for the different plant growth forms. We selected models with canopy height model (CHM) as predictor, to explain above-ground biomass at the landscape level. Allometric and LiDAR derived models showed páramo values ranging from 3 to 11 Mg C ha-1. Conclusions: Our results demonstrated that it is possible to understand above ground carbon accumulation patterns at the landscape level by combining direct and indirect methods, such as allometric equations and LiDAR data, in areas representing the heterogeneity of páramo vegetation. This study is pioneering in providing information for non-forest carbon reservoirs and the impacts of human actions on the dynamics of the AGB, which are crucial to reach national greenhouse gases emission targets.</t>
  </si>
  <si>
    <t>Carbon dynamics,Ecosystem productivity,Montane vegetation,Remote sensing,Vegetation structure</t>
  </si>
  <si>
    <t>Lagunillas river</t>
  </si>
  <si>
    <t>707m2</t>
  </si>
  <si>
    <t>8.20
3.37
4.45
3.37
3.84
3.27</t>
  </si>
  <si>
    <t>Se midio altura y DAP. Tambien se midio area de la hoja. In total, we sampled 167 shrubs, 56 cushion
plants, 89 stem rosettes, 32 tussock grasses, 63 basal
rosettes, and 54 herbs.</t>
  </si>
  <si>
    <t>https://doi.org/10.1016/j.jenvman.2025.124915</t>
  </si>
  <si>
    <t>Skillings-Neira2025</t>
  </si>
  <si>
    <t>Skillings-Neira, Patrick Nicolás; Benavides, Juan C.; Battaglia, Michael J.; Chimner, Rodney A.; Bourgeau-Chavez, Laura; Wayson, Craig; Kolka, Randall; Lilleskov, Erik A.</t>
  </si>
  <si>
    <t>Mapping the distribution and condition of mountain peatlands in Colombia for sustainable ecosystem management</t>
  </si>
  <si>
    <t>Journal of Environmental Management</t>
  </si>
  <si>
    <t>pnskilli@mtu.edu</t>
  </si>
  <si>
    <t>Academic Press</t>
  </si>
  <si>
    <t>High mountain peatlands in Colombia play a crucial role in water regulation, store significant carbon, and yet remain poorly studied and threatened. The lack of a comprehensive national peatland map hinders effective management. Our objectives were to create a national mountain peatland map for Colombia, assess peatland distribution, quantify degraded pasture peatlands, and evaluate soil carbon percentages and bulk density in the top 40 cm of mountain peatlands soils. We developed and compared three national-scale maps using field validation, Sentinel-2 imagery, SAR data, and topographic variables as inputs to a Random Forest classifier, each reflecting a different grouping of the study area. The Subregional map classifies four smaller subregions individually and merges them, the Regional groups two larger regions, and the National classifies the entire study area. Mapping 4.8 million hectares, we found peatlands occupy approximately 225,000 to 250,000 ha. About 13–15% are pasture peatlands, even within protected areas, 7–8% have been disturbed. Soil analyses up to 40 cm show consistently high carbon percentage in undisturbed peatlands, whereas pasture peatlands exhibit lower carbon and higher bulk density, revealing detrimental effects caused by drainage and livestock. These findings underscore the urgent need for targeted conservation and restoration to reduce greenhouse gas emissions, protect water resources, and strengthen climate mitigation strategies. Future research should refine peatland depth estimates to enhance the accuracy of peatland carbon stock assessments, leverage all three maps to improve training data in areas with substantial discrepancies, and use emerging technologies to better detect unaccounted peatland degradation.</t>
  </si>
  <si>
    <t>Andes,Disturbance,National map,Peatlands,Páramos,Remote sensing,Soil carbon</t>
  </si>
  <si>
    <t>Andes de colombia</t>
  </si>
  <si>
    <t>&gt;2750</t>
  </si>
  <si>
    <t>33% 0–10 cm to 29.5% at 30–40 cm, 30.5% at 0–10
cm to 25.1% at 30–40 cm</t>
  </si>
  <si>
    <t xml:space="preserve"> </t>
  </si>
  <si>
    <t>https://doi.org/10.31908/19098367.3161</t>
  </si>
  <si>
    <t>Garcia2025</t>
  </si>
  <si>
    <t>Garcia, Karol Dayanna; Saad, Maria Jisset Calvo; Vivas, Carmen Stella Mosquera</t>
  </si>
  <si>
    <t>Cantidad de carbono y otras propiedades en suelos de páramo y agrícola en Cundinamarca</t>
  </si>
  <si>
    <t>Entre Ciencia e Ingeniería</t>
  </si>
  <si>
    <t>27-34</t>
  </si>
  <si>
    <t>karold.garciar@ecci.edu.co</t>
  </si>
  <si>
    <t>Universidad Catolica de Pereira</t>
  </si>
  <si>
    <t>Soils are important for carbon sequestration and climate change mitigation. This research evaluated the C stock and other properties in paramo and agricultural soils from Cundinamarca. Physicochemical properties such as bulk density, moisture, pH, CO, MO, and spatial variation of C stock were determined. Moreover, a mathematical model was used to estimate the amount of easily oxidizable carbon. The agricultural soil presented higher bulk density; meanwhile, the paramo soil showed higher moisture content, CO, and MO. The stock carbon in paramo and agricultural soils showed a spatial variation with average values of 94.06 ± 10.51 Mg Ha-1 and 82.66 ± 13.51 Mg Ha-1, respectively, and the mathematical model is statistically valid, with R2 &gt; 94%. Agricultural and conservation activities impact the amount of C stored.Los suelos son importantes para la captura de carbono y la mitigación del cambio climático. Esta investigación evaluó la cantidad de C y otras propiedades en un suelo de páramo y agrícola de Cundinamarca. Se determinaron propiedades fisicoquímicas, como densidad aparente, humedad, pH, CO, MO y la variación espacial de la cantidad de carbono. Además, se obtuvo un modelo matemático para estimar la cantidad de carbono fácilmente oxidable. El suelo agrícola presentó una mayor densidad aparente; mientras que el suelo de páramo mostró un mayor contenido de humedad, CO y MO. La cantidad de C del suelo de páramo y agrícola presentó una variación espacial con valores promedios de 93,74 ± 10,76 Mg/ha y 85,92 ± 9,34 Mg/ha, respectivamente, y el modelo matemático es válido estadísticamente solo para suelos de páramo, con un R2 &gt; 92%. Las actividades agrícolas y de conservación impactan la cantidad de C almacenado.</t>
  </si>
  <si>
    <t xml:space="preserve">
Soacha</t>
  </si>
  <si>
    <t xml:space="preserve">Paramo soacha </t>
  </si>
  <si>
    <t xml:space="preserve">321 Pastizales Naturales </t>
  </si>
  <si>
    <t>Andisol</t>
  </si>
  <si>
    <t>publico</t>
  </si>
  <si>
    <t xml:space="preserve">profundidad entre 0 y 10 cm </t>
  </si>
  <si>
    <t xml:space="preserve">Carbono Organico del Suelo. </t>
  </si>
  <si>
    <t>SD: 10.76</t>
  </si>
  <si>
    <t xml:space="preserve">Solo se trabaja una profundidad de 0-10 </t>
  </si>
  <si>
    <t xml:space="preserve"> 
anillos de 7.62cm de diametro interno y 10 de longitud entre los 0 y 10 cm de profundidad
Contenido de carbono fácilmente oxidable con el método Walkley – Black  y la materia orgánica a través del método en seco a 500 °C. El contenido de carbono organico en megagramos (Mg) por hectarea (ha) se estimo a partir de la ecuacion: 
CO = DA* %CO*Pm 
DA= densidad aparente g/cm3
%CO = % de carbono facilmente oxidable.
Pm: produnidad en cm. </t>
  </si>
  <si>
    <t>A las muestras de suelo se les determinó la densidad  aparente en húmedo y seco con el método del cilindro, el contenido volumétrico de agua en campo a través del método gravimétrico y la densidad aparente en seco, pH con una relación 1:3 y el método potenciométrico , contenido de carbono fácilmente oxidable con el método Walkley – Black  y la materia orgánica a través del método en seco a 500 °C.</t>
  </si>
  <si>
    <t>https://doi.org/10.22490/21456453.8955</t>
  </si>
  <si>
    <t>VasquezGonzalez2025</t>
  </si>
  <si>
    <t>Gonzalez, Jorge Augusto Vasquez; Reyes, German Eduardo Cely; Cely, Pablo Antonio Serrano</t>
  </si>
  <si>
    <t>Captura de carbono en suelos bajo tres coberturas vegetales en complejos de páramos de Boyacá</t>
  </si>
  <si>
    <t>183-219</t>
  </si>
  <si>
    <t>jorgeavasquezg@gmail.com</t>
  </si>
  <si>
    <t>Contextualización: Los páramos son ecosistemas con una gran variedad ambiental y una serie de aspectos ecológicos importantes, para el desarrollo de capacidades aprovechables en función de los seres vivos los cuales están inmersos en los mismos, y que con las acciones antrópicas alteran las condiciones de sustentabilidad de los procesos sinérgicos naturales; los cuales son esenciales para la formación del páramo que genera gran cantidad de agua y logra la captura de carbono atmosférico, que disminuye el cambio climático. Vacío de conocimiento: La diversidad de páramos en el país, representa una oportunidad para avanzar en el estudio de la variabilidad en cuanto  a la captura de carbono orgánico respecto al uso de los suelos y coberturas vegetales, que son ecosistemas fundamentales para la supervivencia de la población, que resulta ser la misma causante de actividades que alteran las condiciones de los procesos de captura de carbono, cuyo estudio es esencial para ampliar el saber de las causas y efectos hacia el medio natural. Propósito: Evaluar y determinar la variabilidad en cuanto a la captura de carbono orgánico respecto al uso de los suelos y coberturas vegetales presentes en tres sistemas de paramos: Iguaque Merchán, Guantiva la Rusia y el Cocuy, ubicados en Boyacá.  Metodología: Se establecieron parcelas de muestreo en tres zonas específicas (intervenida, en recuperación y no intervenida) dentro de las 500 hectáreas piloto designadas para este estudio. Se llevo a cabo un tipo de muestreos de suelo a dos niveles de profundidades (0-15 y 15-30 centímetros) para un posterior análisis de la cantidad de carbono orgánico en el laboratorio, aplicando un método de Walkley Black. Resultados y conclusiones: Se obtuvieron resultados que indican que de los tres complejos de paramos, el de Guantiva, La Rusia obtuvo los valores de carbono orgánico más altos, así: Recuperación (87,95 t.ha-1 C), Intervenida (95,03 t.ha-1 C) y No intervenida (144,93 t.ha-1 C). Esto evidencio los efectos nocivos producidos por las actividades antrópicas en un suelo de una biodiversidad de alta montaña, los cuales se identifican por ser sumideros importantes de carbono y agentes, que impiden la liberación del gas que producen los efectos invernaderos hacia la atmosfera.Contextualization: The moors are ecosystems with a great environmental variety and a series of important ecological aspects for the development of exploitable capacities based on the living beings that are immersed in them, and that with anthropic actions alter the conditions of sustainability of the natural synergistic processes; which are essential for the formation of the moor that generates a large amount of water and achieves the capture of atmospheric carbon, which decreases climate change. Knowledge gap: The diversity of moors in the country represents an opportunity to advance in the study of variability in terms of the capture of organic carbon with respect to the use of soils and plant covers, which are fundamental ecosystems for the survival of the population, which happens to be the same cause of activities that alter the conditions of the carbon capture processes, whose study is essential to expand the knowledge of the causes and effects on the natural environment. Purpose: To evaluate and determine the variability in organic carbon capture in relation to the use of soils and vegetation cover present in three paramo systems: Iguaque Merchán, Guantiva la Rusia and Cocuy, located in Boyacá. Methodology: Sampling plots were established in three specific areas (intervened, in recovery and non-intervened) within the 500 pilot hectares designated for this study. A type of soil sampling was carried out at two depth levels (0-15 and 15-30 centimeters) for a later analysis of the amount of organic carbon in the laboratory, applying a Walkley Black method. Results and conclusions: Results were obtained indicating that of the three paramo complexes, Guantiva and La Rusia obtained the highest organic carbon values, as follows: Recovery (87.95 t.ha-1 C), Intervened (95.03 t.ha-1 C) and Non-intervened (144.93 t.ha-1 C). This showed the harmful effects produced by anthropic activities on a soil of high mountain biodiversity, which are identified as important carbon sinks and agents that prevent the release of the gas that produces greenhouse effects into the atmosphere.</t>
  </si>
  <si>
    <t>Arcabuco</t>
  </si>
  <si>
    <t>Iguaque-Merchán</t>
  </si>
  <si>
    <t>100m2</t>
  </si>
  <si>
    <t>(ton ha-1C)</t>
  </si>
  <si>
    <t>0-15cm:25.18
15-30cm:40.36</t>
  </si>
  <si>
    <t>https://doi.org/10.3390/land14101980</t>
  </si>
  <si>
    <t>Sterling2025</t>
  </si>
  <si>
    <t>Sterling, Armando; Suárez-Córdoba, Yerson D.; Rodríguez-Castillo, Natalia A.; Rodríguez-León, Carlos H.</t>
  </si>
  <si>
    <t>Soil–Atmosphere Greenhouse Gas Fluxes Across a Land-Use Gradient in the Andes–Amazon Transition Zone: Insights for Climate Innovation</t>
  </si>
  <si>
    <t>Land</t>
  </si>
  <si>
    <t>asterling@sinchi.org.co</t>
  </si>
  <si>
    <t>Multidisciplinary Digital Publishing Institute (MDPI)</t>
  </si>
  <si>
    <t>This study evaluated the seasonal variability of soil–atmosphere greenhouse gas (GHG) fluxes—carbon dioxide (CO2), methane (CH4), and nitrous oxide (N2O)—across a land-use gradient in the Andean–Amazon transition zone of Colombia. The gradient included five land-use types incorporating at least one innovative climate-smart practice—improved pasture (IP), cacao agroforestry system (CaAS), copoazu agroforestry system (CoAS), secondary forest with agroforestry enrichment (SFAE), and moriche palm swamp ecosystem (MPSE)—alongside the dominant regional land uses, old-growth forest (OF) and degraded pasture (DP). Soil GHG fluxes varied markedly among land-use types and between seasons. CO2 fluxes were consistently higher during the dry season, whereas CH4 and N2O fluxes peaked in the rainy season. Agroecological and restoration systems exhibited substantially lower CO2 emissions (7.34–9.74 Mg CO2-C ha-1 yr-1) compared with DP (18.85 Mg CO2-C ha-1 yr-1) during the rainy season, and lower N2O fluxes (0.21–1.04 Mg CO2-C ha-1 yr-1) during the dry season. In contrast, the MPSE presented high CH4 emissions in the rainy season (300.45 kg CH4-C ha-1 yr-1). Across all land uses, CO2 was the dominant contributor to the total GWP (&gt;95% of emissions). The highest global warming potential (GWP) occurred in DP, whereas CaAS, CoAS and MPSE exhibited the lowest values. Soil temperature, pH, exchangeable acidity, texture, and bulk density play a decisive role in regulating GHG fluxes, whereas climatic factors, such as air temperature and relative humidity, influence fluxes indirectly by modulating soil conditions. These findings underscore the role of diversified agroforestry and restoration systems in mitigating GHG emissions and the need to integrate soil and climate drivers into regional climate models.</t>
  </si>
  <si>
    <t>carbon dioxide (CO2),climate-smart tropical agriculture,global warming potential,methane (CH4),nitrous oxide (N2O),soil–climate interactions,static chambers</t>
  </si>
  <si>
    <t>La montañita, Belén de los Andaquíes</t>
  </si>
  <si>
    <t xml:space="preserve">Piedemonte amazonico </t>
  </si>
  <si>
    <t>232 to 592</t>
  </si>
  <si>
    <t>Parcelas</t>
  </si>
  <si>
    <t>20*30</t>
  </si>
  <si>
    <t>Flujos CO2 Flujos CH4 Flujo N2O</t>
  </si>
  <si>
    <t>2 meses</t>
  </si>
  <si>
    <t>mg C m−2 h−1</t>
  </si>
  <si>
    <t xml:space="preserve">188.02, 184.43,179.29, 98.59, 108.76, 124.20 </t>
  </si>
  <si>
    <t>1.8802,1.8443,1.7929,0.9859,1.0876,1.2420,</t>
  </si>
  <si>
    <t>µg C m−2 h−1</t>
  </si>
  <si>
    <t xml:space="preserve"> 3429.78 µg C m−2 h−1
 1297.14 µg C m−2 h−1 
(−48.25 µg C m−2 h−1), (−20.42 µg C m−2 h−1), (−14.25 µg C m−2 h−1), 
(−8.74 µg Cm−2 h−1). (150.57 µg C m−2 h−1) (127.67 µg C m−2 h−1), (13.94 µg C m−2 h−1)  (11.71 µg C m−2 h−1). (2363.46 µg C m−2 h−1), (−0.47 µg C m−2 h−1),(−3.24 µg C m−2 h−1), (−24.98 µg C m−2 h−1)</t>
  </si>
  <si>
    <t>(74.48 µg N m−2 h−1),
(30.54 µg N m−2 h−1),(18.42 µg N m−2 h−1), (14.00 µg N m−2 h−1),(13.64 µg N m−2 h−1), (9.11 µg N m−2 h−1), (9.03 µg Nm−2 h−1)  (30.79 µg N m−2 h−1) 
(17.56 µg Nm−2 h−1).</t>
  </si>
  <si>
    <t>https://doi.org/10.1088/1748-9326/adbc03</t>
  </si>
  <si>
    <t>Winton2025</t>
  </si>
  <si>
    <t>Winton, R. Scott; Benavides, Juan C.; Mendoza, Edmundo; Uhde, Antje; Hastie, Adam; Coronado, Eurídice N. Honorio; Ortega, Andres Giovanny Hernandez; Paukku, Stella; Mullins, Bailey; del Aguila Pasquel, Jhon; Aymard-Corredor, Gerardo A.; Baker, Tim R.; Draper, Freddie C.; Llampazo, Gerardo Flores; Herrera, Rafael; Phillips, Oliver L.; Huaymacari, José Manuel Reyna; ter Steege, Hans; Stropp, Juliana; Lawson, Ian T.; Gallego-Sala, Angela V.; Boom, Arnoud; Wehrli, Bernhard; Hoyt, Alison M.</t>
  </si>
  <si>
    <t>Widespread carbon-dense peatlands in the Colombian lowlands</t>
  </si>
  <si>
    <t xml:space="preserve">Environmental Research Letters </t>
  </si>
  <si>
    <t>scwinton@ucsc.edu</t>
  </si>
  <si>
    <t>Institute of Physics</t>
  </si>
  <si>
    <t>Peatlands are some of the world’s most carbon-dense ecosystems and release substantial quantities of greenhouse gases when degraded. However, conserving peatlands in many tropical areas is challenging due to limited knowledge of their distribution. To address this, we surveyed soils and plant communities in Colombia’s eastern lowlands, where few peatlands have previously been described. We documented peat soils &gt;40 cm thick at 51 of more than 100 surveyed wetlands. We use our data to update a regional peatland classification, which includes a new and possibly widespread peatland type, ‘the white-sand peatland,’ as well as two distinctive open-canopy sub-types. Analysis of peat bulk density and organic matter content from 39 intact peat cores indicates that the average per-area carbon densities of these sites (490-1230 Mg C ha-1, depending on type) is 4-10 times the typical carbon stock of a (non-peatland) Amazonian forest. We used remote sensing to upscale our observations, generating the first data-driven peatland map for the region. The total estimated carbon stock of these peatlands of 1.91 petagrams (Pg C) (2-sigma confidence interval, 0.60-4.22) approaches that of South America’s largest known peatland complex in the northern Peruvian Amazon, indicating that substantial peat carbon stores on the continent have yet to be documented. These observations indicate that tropical peatlands may be far more diverse in form and structure and broadly distributed than is widely understood, which could have important implications for tropical peatland conservation strategies.</t>
  </si>
  <si>
    <t>Amazonia,carbon cycle,peatlands,tropical ecology,wetlands</t>
  </si>
  <si>
    <t>Si
URL/DOI: https://
doi.org/10.3929/ethz-b-000520816 [90].</t>
  </si>
  <si>
    <t>Orinoquia
Amazonia</t>
  </si>
  <si>
    <t>Meta
Vaupez
Guainia
Caqueta
Guaviare</t>
  </si>
  <si>
    <t>turbas de pantano de palma</t>
  </si>
  <si>
    <t>Bosques</t>
  </si>
  <si>
    <t>Cananguchales</t>
  </si>
  <si>
    <t>600 m</t>
  </si>
  <si>
    <t>Transecto cada 100 m muestras</t>
  </si>
  <si>
    <t>2020 - 2023</t>
  </si>
  <si>
    <t>200 a 3500</t>
  </si>
  <si>
    <t>1.91 Pg C</t>
  </si>
  <si>
    <t>Muestreo no probabilistico dirigido, transectos toma de muestras de suelo en 39 puntos</t>
  </si>
  <si>
    <t>Puntos en el transecto cada 100 m</t>
  </si>
  <si>
    <t>Nucleos de turba hasta la base del suelo
0.4 a 6 m</t>
  </si>
  <si>
    <t xml:space="preserve">Uso de barreno ruso </t>
  </si>
  <si>
    <t>https://doi.org/10.1016/j.geodrs.2025.e00958</t>
  </si>
  <si>
    <t>Rey-Romero2025</t>
  </si>
  <si>
    <t>Rey-Romero, Daniela Cristina; Daza-Torres, Martha Constanza; Sanchez-Torres, Viviana; Oviedo-Ocaña, Edgar Ricardo</t>
  </si>
  <si>
    <t>Effects of green onion (Allium fistulosum) cropping on topsoil nitrogen species contents in a Páramo ecosystem</t>
  </si>
  <si>
    <t>Geoderma Regional</t>
  </si>
  <si>
    <t>eroviedo@uis.edu.co</t>
  </si>
  <si>
    <t>Páramos are unique ecosystems vital for biodiversity conservation and water supply. However, land-use change has increased reactive nitrogen (N) concentration, leading to environmental pollution. Despite their importance, limited research has been conducted on their soil N pools, which are crucial for regulating N losses and supporting ecosystem services. Therefore, this study analyzed the influence of green onion (Allium fistulosum) cropping on soil N pools and their controlling factors in a Colombian páramo. We collected topsoil (0–20 cm) samples from 50 plots located in cultivated and non-cultivated land. The samples were analyzed for total N (TN), nitrate-nitrogen (N-NO3-), ammonium-nitrogen (N-NH4+), and other 13 physicochemical edaphic properties. Cultivated soils exhibited 40 % lower TN and nearly eight times higher N-NO3- concentrations compared to non-cultivated soils, while N-NH4+ remained relatively stable. TN depletion was linked to SOM loss driven by farming practices, including fresh chicken manure fertilization, burning, and ploughing. Agricultural management practices neutralized soil acidity, favoring nitrification and increasing the risk of N-NO3 losses via leaching or runoff. Key edaphic properties influencing soil N pools included pH, soil organic carbon, electrical conductivity, available potassium, available sulfur, available phosphorus, soil water content, and bulk density. These findings highlight the need to incorporate these factors into models of soil N dynamics in páramos to better assess the impact of agricultural management on ecosystem functions. Our results provide valuable insights for promoting sustainable N management in sensitive páramo ecosystems.</t>
  </si>
  <si>
    <t>Agriculture,Andes,High-altitude ecosystems,Inceptisols,Land-use,Nitrogen pools,Soil properties</t>
  </si>
  <si>
    <t>Santander</t>
  </si>
  <si>
    <t>Tona</t>
  </si>
  <si>
    <t>Berlín</t>
  </si>
  <si>
    <t>Micro-cuenca alta del Río Jordán, Páramo de Berlín</t>
  </si>
  <si>
    <t>Andisoles-Inceptisoles</t>
  </si>
  <si>
    <t>2021-12</t>
  </si>
  <si>
    <t>2021-2022</t>
  </si>
  <si>
    <t>6,35, 10.75</t>
  </si>
  <si>
    <t>83.82,129</t>
  </si>
  <si>
    <t>1,67SD,1,89 SD</t>
  </si>
  <si>
    <t>Muestreo compuesto: 20 submuestras en transecto zigzag por parcela (0-20 cm)</t>
  </si>
  <si>
    <t>Nucleo, cilindros de 100 cm³</t>
  </si>
  <si>
    <t>https://doi.org/10.1038/s43247-025-02674-7</t>
  </si>
  <si>
    <t>Puntos en la amazonia colombiana peruana y brasilera</t>
  </si>
  <si>
    <t>Fuego</t>
  </si>
  <si>
    <t xml:space="preserve">Punto </t>
  </si>
  <si>
    <t xml:space="preserve">Pg </t>
  </si>
  <si>
    <t xml:space="preserve">46.7 </t>
  </si>
  <si>
    <t>± 31.4 Pg</t>
  </si>
  <si>
    <t>Se extrageron muestras en 8 puntos diferentes a profundidad maxim</t>
  </si>
  <si>
    <t>0-max</t>
  </si>
  <si>
    <t>Turberas</t>
  </si>
  <si>
    <t>No probabilístico</t>
  </si>
  <si>
    <t>0 a 10 cm</t>
  </si>
  <si>
    <t>Proyecto
COLFLUX
Base de Datos de Contenidos de Carbono y Flujos Información secundaria</t>
  </si>
  <si>
    <t>Campo</t>
  </si>
  <si>
    <t>Requisito</t>
  </si>
  <si>
    <t>Categoria</t>
  </si>
  <si>
    <t>Variable</t>
  </si>
  <si>
    <t>Descripción</t>
  </si>
  <si>
    <t>Dominios</t>
  </si>
  <si>
    <t>Tipo de dato</t>
  </si>
  <si>
    <t>Informacion general</t>
  </si>
  <si>
    <t>General</t>
  </si>
  <si>
    <t>Article "7", Book"1", Booklet "2", Inbook"5", Incollection"5", Inproceedings "6", Manual "8”, Mastersthesis "9", Other "10”, Phdthesis "9",Proceedings "3", Techreport "13”,Unpublished "14", Misc "10"</t>
  </si>
  <si>
    <t>Numerico</t>
  </si>
  <si>
    <t>Codigo de 13 digitos - International Standard Book Number</t>
  </si>
  <si>
    <t>Codigo alfanumerico que se le asigna los documento y articulos digitales - Digital Object Identifier</t>
  </si>
  <si>
    <t>Alphanumerico</t>
  </si>
  <si>
    <t>Codigo generado para cada articulo en la base de datos como identificador unico compuesto usualmente por el apellido del autor principal y el año</t>
  </si>
  <si>
    <t>Nombres de aquellos que escribieron el documento</t>
  </si>
  <si>
    <t>Caracter</t>
  </si>
  <si>
    <t>Titulo del documento</t>
  </si>
  <si>
    <t>Revista o entidad en donde se ha publicado el documento</t>
  </si>
  <si>
    <t>Volumen del documento</t>
  </si>
  <si>
    <t>Numero del documento</t>
  </si>
  <si>
    <t>Mes de publicacion del documento</t>
  </si>
  <si>
    <t>Paginas del Journal en donde se encuentra el articulo - Paginas leidas</t>
  </si>
  <si>
    <t>Año de publicacion del documento</t>
  </si>
  <si>
    <t>Correo electronico del autor para correspondencia</t>
  </si>
  <si>
    <t>Anotaciones</t>
  </si>
  <si>
    <t>Dire</t>
  </si>
  <si>
    <t>Titulo del libro</t>
  </si>
  <si>
    <t>Capitulo del libro usado</t>
  </si>
  <si>
    <t>Nombres de los editores acargo del libro</t>
  </si>
  <si>
    <t>Editorial - Entidad que imprime el libro</t>
  </si>
  <si>
    <t>Institucion</t>
  </si>
  <si>
    <t>Organizacion</t>
  </si>
  <si>
    <t xml:space="preserve">Resumen del documento </t>
  </si>
  <si>
    <t>Palabras claves del documento</t>
  </si>
  <si>
    <t>Permite identificar si la información suministrada por el documento tuvo validación directa en campo o si fue modelada</t>
  </si>
  <si>
    <t xml:space="preserve">Link de repositorio </t>
  </si>
  <si>
    <t>Ubicacion y caracterizacion</t>
  </si>
  <si>
    <t>Ubicacion</t>
  </si>
  <si>
    <t xml:space="preserve">Region Natural </t>
  </si>
  <si>
    <t xml:space="preserve">Andes
Orinoquia
Amazonia
Caribe
Pacifico
 </t>
  </si>
  <si>
    <t>Ubicación de reporte del dato - Departamento</t>
  </si>
  <si>
    <t>Ubicación de reporte del dato - Municipio</t>
  </si>
  <si>
    <t>Ubicación de reporte del dato - Vereda</t>
  </si>
  <si>
    <t>Nombre del sitio de muestreo</t>
  </si>
  <si>
    <t>Clasificación del tipo de localización geográfica asociada al registro de contenido de carbono y/o muestra. Indica el nivel de precisión espacial con el que se dispone la información geográfica.
 – Localización exacta: el registro cuenta con coordenadas geográficas precisas proporcionadas directamente por la fuente.
 – Localización aproximada a nivel de vereda: el registro no contiene coordenadas, pero se asignan las del centroide de la vereda registrada, siempre que esta coincida con una vereda existente en el consolidado oficial del DANE.
 – Localización aproximada a nivel de municipio: no se dispone de coordenadas ni de una vereda coincidente con el consolidado del DANE; en este caso, se asignan las coordenadas del centroide del municipio, con base en la cartografía oficial del IGAC.
 – Localización inferida: no se cuenta con información directa de ubicación (ni vereda ni municipio). Se asigna una coordenada aproximada basada en el conocimiento del ecosistema y del sitio de muestreo reportado.</t>
  </si>
  <si>
    <t>Numérico</t>
  </si>
  <si>
    <t>Coordenada geográfica de latitud</t>
  </si>
  <si>
    <t>Coordenada geográfica de longitud</t>
  </si>
  <si>
    <t>Altitud en m.s.n.m del ecosistema y punto de muestreo</t>
  </si>
  <si>
    <t>Cobertura</t>
  </si>
  <si>
    <t>Nombre del ecosistema estrategico</t>
  </si>
  <si>
    <t xml:space="preserve">Clasificacion IPCC
- Tierras forestales (Forest Land)	Esta categoría incluye todas las tierras con vegetación leñosa que cumplan con los umbrales utilizados para definir Tierras Forestales en el inventario nacional de gases de efecto invernadero. También incluye sistemas con una estructura de vegetación que actualmente se encuentra por debajo de dichos umbrales, pero que in situ podría alcanzar los valores umbral utilizados por un país para definir la categoría de Tierras Forestales.
- Tierras de cultivo (Cropland)	Esta categoría incluye las tierras cultivadas, incluidos los arrozales, y los sistemas agroforestales donde la estructura de la vegetación se encuentra por debajo de los umbrales utilizados para la categoría de Tierras Forestales.
- Pastizales (Grassland)	Esta categoría incluye las tierras de pastoreo y praderas que no son consideradas Tierras de Cultivo. También incluye sistemas con vegetación leñosa y otras formas de vegetación no gramínea, como hierbas y matorrales, que se encuentran por debajo de los valores umbral utilizados para la categoría de Tierras Forestales. La categoría incluye todos los pastizales, desde tierras silvestres hasta áreas recreativas, así como sistemas agrícolas y silvopastoriles, de acuerdo con las definiciones nacionales.
- Humedales (Wetlands)	Esta categoría incluye áreas de extracción de turba y tierras que están cubiertas o saturadas por agua durante todo o parte del año (por ejemplo, turberas), y que no pertenecen a las categorías de Tierras Forestales, Tierras de Cultivo, Pastizales o Asentamientos. Incluye los embalses como una subcategoría manejada, y los ríos y lagos naturales como subcategorías no manejadas.
- Asentamientos (Settlements)	Esta categoría incluye todas las tierras desarrolladas, incluidas las infraestructuras de transporte y los asentamientos humanos de cualquier tamaño, a menos que ya estén incluidas en otras categorías. Debe ser coherente con las definiciones nacionales.
- Otras tierras (Other Land)	Esta categoría incluye suelos desnudos, rocas, hielo y todas las áreas terrestres que no se incluyen en ninguna de las otras cinco categorías. Permite que el total de las áreas de tierra identificadas coincida con el área nacional, cuando se dispone de datos. Cuando sea posible, se alienta a los países a clasificar las tierras no manejadas dentro de las categorías de uso de la tierra mencionadas anteriormente (por ejemplo, Tierras Forestales no manejadas, Pastizales no manejados y Humedales no manejados). Esto mejorará la transparencia y aumentará la capacidad de seguimiento de las conversiones de uso de la tierra desde tipos específicos de tierras no manejadas hacia las categorías anteriores.
</t>
  </si>
  <si>
    <t xml:space="preserve">https://www.fao.org/fileadmin/templates/ess/documents/meetings_and_workshops/costarica2014/Clasificaci%C3%B3n_coberturas_vegetales.pdf
https://www.ipcc-nggip.iges.or.jp/public/2006gl/pdf/4_Volume4/V4_03_Ch3_Representation.pdf
</t>
  </si>
  <si>
    <t>Cobertura Corine Land Cover Nivel 4</t>
  </si>
  <si>
    <t>https://www.corpocesar.gov.co/files/Ref_UnicoyPersistente/Corine_Land_Cover.pdf</t>
  </si>
  <si>
    <t>Clasificacion IGBP
- Vegetación escasa o suelo desnudo:	Tierras con suelo expuesto, arena o rocas, y con menos del 10 % de cobertura vegetal en cualquier momento del año.
- Cultivos:	Tierras cubiertas por cultivos temporales seguidos de cosecha y un período de suelo desnudo (por ejemplo, sistemas de cultivo simple o múltiple). Los cultivos leñosos perennes se clasifican como el tipo correspondiente de bosque o matorral.
- Matorrales cerrados:	Tierras con vegetación leñosa de menos de 2 metros de altura y con una cobertura de dosel de arbustos mayor al 60 %. El follaje puede ser perenne o caducifolio.
- Mosaico de cultivos y vegetación natural:	Tierras con un mosaico de cultivos, bosques, matorrales y pastizales, donde ningún componente supera el 60 % del paisaje.
- Bosques latifoliados caducifolios:	Tierras dominadas por vegetación leñosa con una cobertura mayor al 60 % y altura superior a 2 metros. Consisten en comunidades de árboles de hoja ancha con un ciclo anual de pérdida y renovación de hojas.
- Bosques de coníferas caducifolias:	Tierras dominadas por vegetación leñosa con una cobertura mayor al 60 % y altura superior a 2 metros. Consisten en comunidades de árboles con hojas aciculares que presentan un ciclo anual de pérdida y renovación de hojas.
- Bosques latifoliados siempreverdes:	Tierras dominadas por vegetación leñosa con una cobertura mayor al 60 % y altura superior a 2 metros. Casi todos los árboles y arbustos permanecen verdes durante todo el año. El dosel nunca carece de follaje verde.
- Bosques de coníferas siempreverdes:	Tierras dominadas por vegetación leñosa con una cobertura mayor al 60 % y altura superior a 2 metros. Casi todos los árboles permanecen verdes durante todo el año. El dosel nunca carece de follaje verde.
- Pastizales:	Tierras con cobertura herbácea. La cobertura de árboles y arbustos es menor al 10 %. Incluye humedales permanentes con una mezcla permanente de agua y vegetación herbácea o leñosa, en agua salina, salobre o dulce.
- Bosques mixtos:	Tierras dominadas por árboles con una cobertura mayor al 60 % y altura superior a 2 metros. Consisten en comunidades arbóreas con mezclas o mosaicos de los otros cuatro tipos de bosque. Ningún tipo forestal supera el 60 % del paisaje.
- Matorrales abiertos:	Tierras con vegetación leñosa de menos de 2 metros de altura y con una cobertura de dosel de arbustos entre el 10 % y el 60 %. El follaje puede ser perenne o caducifolio.
- Sabanas: Tierras con vegetación herbácea y otros sistemas de sotobosque, y con una cobertura de dosel arbóreo entre el 10 % y el 30 %. La altura del dosel arbóreo supera los 2 metros.
- Nieve y hielo:	Tierras cubiertas por nieve o hielo durante la mayor parte del año.
- Áreas urbanas y construidas:	Tierras cubiertas por edificaciones y otras estructuras construidas por el ser humano.
- Cuerpos de agua:	Océanos, mares, lagos, embalses y ríos. Pueden ser cuerpos de agua dulce o salada.
- Humedales permanentes:	Tierras con una mezcla permanente de agua y vegetación herbácea o leñosa que cubren áreas extensas. La vegetación puede estar presente en agua salina, salobre o dulce.
- Sabanas arboladas:	Tierras con vegetación herbácea y otros sistemas de sotobosque, y con una cobertura de dosel arbóreo entre el 30 % y el 60 %. La altura del dosel arbóreo supera los 2 metros</t>
  </si>
  <si>
    <t xml:space="preserve">Cobertura nombre local </t>
  </si>
  <si>
    <t>Nombre según la denominación utilizada por las comunidades locales</t>
  </si>
  <si>
    <t xml:space="preserve">Tipo de suelo homologado a categorías IPCC </t>
  </si>
  <si>
    <t>https://livejaverianaedu-my.sharepoint.com/:w:/r/personal/marian_cabrerap_javeriana_edu_co/_layouts/15/Doc.aspx?sourcedoc=%7BE6D3F5C8-7D7F-4705-8692-66F0E12F17D2%7D&amp;file=Suelos%20IPCC.docx&amp;action=default&amp;mobileredirect=true</t>
  </si>
  <si>
    <t>Informacion disturbio</t>
  </si>
  <si>
    <t>Disturbio</t>
  </si>
  <si>
    <t xml:space="preserve">Estado del ecosistema de interés frente a la presencia de perturbaciones:
- Natural: Sin manejo humano significativo.   
- Seminatural: Manejo bajo, regeneración natural dominante.
- Manejado: Manejo activo (aprovechamiento, ganadería, agroforestería).
- Plantación: Vegetación establecida y manejada por humanos.  
- Artificial / Urbano: Superficie no natural.
</t>
  </si>
  <si>
    <t xml:space="preserve">Agricultura:  Manejo agrícola de cualquier tipo, como cultivo (incluye labranza, arado o rastra), cosecha, riego, aplicación de pesticidas, siembra o encalado.
Sequía: Deficiencia prolongada de agua; sequía hidrológica o climática.                                                                                              
Fuego: Incendios forestales o quemas controladas.
Silvicultura: Manejo forestal como aprovechamiento maderero de cualquier tipo, establecimiento de plantaciones o aplicación de herbicidas.
Pastoreo: Herbivoría o ramoneo por mamíferos, manejados o silvestres. 
Evento hidrológico: Drenaje, inundación persistente o inundación crónica. No incluye eventos de tormenta ni riego.
Cambio en cobertura del suelo: Cambios en el uso y la cobertura del suelo; invasiones biológicas; expansión leñosa o urbana.
Plagas y enfermedades: Daño a plantas o suelos causado por plagas, insectos, patógenos, tizones u otras enfermedades.
Tormenta o viento: Tormentas mayores, incluidos eventos de precipitación inusualmente alta o vientos extremos (p. ej., huracanes, tornados, granizadas, inundaciones asociadas a tormentas).
Extremos de temperatura: Olas de calor o heladas.
Sin disturbio: No se ha registrado disturbio ni manejo en el sitio.
</t>
  </si>
  <si>
    <t xml:space="preserve">Anos duracion de disturbio </t>
  </si>
  <si>
    <t>Anos_desde_fin_disturbio</t>
  </si>
  <si>
    <t xml:space="preserve">Anos desde que termino el disturbio  </t>
  </si>
  <si>
    <t>Descibir si esta bajo alguna figura de reserva, parque, santuario...</t>
  </si>
  <si>
    <t>Diseño</t>
  </si>
  <si>
    <t>General Diseño</t>
  </si>
  <si>
    <t>Diseño de muestreo implementado: 
- Probabilístico
- No probabilístico</t>
  </si>
  <si>
    <t xml:space="preserve">Tipo unidad de muestreo 
- Parcela
- Conglomerado 
- Transecto
- Otro (Escribir cual) </t>
  </si>
  <si>
    <t xml:space="preserve">Tamaño de parcela y de subparcelas en metros cuadrados (m2) </t>
  </si>
  <si>
    <t>Forma de parcela 
- Circular
- Rectangular
- Cuadrada</t>
  </si>
  <si>
    <t>No. Unidades de muestreo</t>
  </si>
  <si>
    <t>El número total  de unidades de muestreo en el sistema de monitoreo</t>
  </si>
  <si>
    <t xml:space="preserve">Compartimientos de depósito de carbono
- Biomasa aerea 
- Biomasa subterranea 
- Carbono organico del suelo 
- Materia organica muerta (Detritos) 
- Materia organica muerta (Hojarasca) </t>
  </si>
  <si>
    <t>Texto</t>
  </si>
  <si>
    <t>Fecha inicial de cuando empezó las mediciones en el sistema de monitoreo, la estructura del dato fecha es: aaaa,mm,dd</t>
  </si>
  <si>
    <t xml:space="preserve">Años cuando se realizó el muestreo separados por (,). </t>
  </si>
  <si>
    <t>Biomasa</t>
  </si>
  <si>
    <t>Configuracion</t>
  </si>
  <si>
    <t>Factor de conversión de biomasa a carbono</t>
  </si>
  <si>
    <t>Reporte</t>
  </si>
  <si>
    <t>Unidad reportada en el documento para el contenido de carbono de la biomasa aerea</t>
  </si>
  <si>
    <t>Valor reportado en el documento de contenido para el carbono de la biomasa aerea</t>
  </si>
  <si>
    <t>Error</t>
  </si>
  <si>
    <t>Medida de error reportada en SD: desviación estándar, EE: Error estándar, U%: porcentaje de incertidumbre</t>
  </si>
  <si>
    <t>Contenido de Carbono en biomasa aérea (tC/ha)</t>
  </si>
  <si>
    <t>Dato reportado del contenido de carbono en el compartimiento de biomasa aérea en unidades de toneladas de carbono por hectárea</t>
  </si>
  <si>
    <t>Metodologia</t>
  </si>
  <si>
    <t>Metodología Tamaño de categoría</t>
  </si>
  <si>
    <t>Descripción de componentes considerados, detalles de clases diamétricas</t>
  </si>
  <si>
    <t>Metodología Tamaño de muestra</t>
  </si>
  <si>
    <t>Descripción de áreas por parcelas o subparcelas por compartimiento</t>
  </si>
  <si>
    <t>Metodología Ecuaciones alométricas BA</t>
  </si>
  <si>
    <t>Referencias de ecuaciones alométricas reportadas para el compartimiento de biomasa aérea
-Chave et al (2014)	: 𝐵A = 0,0673 × (p × 𝐷AP2 × 𝐻)0,9761.
-Goodman et al., 2013	: ln(BA)=2.4647+1.3777(ln(H))
-Yepes et al., 2011	: BR= exp(-1.085+0.9256 ln (BA))
-Sierra et al (2007)	: AGB=exp (0.36+1.218xln(h))
-Weaver (2000)	: AGB=3.82 H-3.62
Donde: 
H: Altura
BA: Biomasa aérea
BS: Biomasa subterranea
p: Densidad
DAP: Diamétro Altura del Pecho</t>
  </si>
  <si>
    <t xml:space="preserve">
</t>
  </si>
  <si>
    <t xml:space="preserve">Unidades que reportan en el docuento escrito </t>
  </si>
  <si>
    <t>Valor reportado en el documento</t>
  </si>
  <si>
    <t>Contenido de Carbono biomasa subterránea (tC/ha)</t>
  </si>
  <si>
    <t>Dato reportado del contenido de carbono en el compartimiento de biomasa subterránea en unidades de toneladas de carbono por hectárea</t>
  </si>
  <si>
    <t>Error asociado reportado en unidades de: Desviación estándar (SD), Error Estándar (EE), Incertidumbre (U%)</t>
  </si>
  <si>
    <t>Metodología Ecuaciones alométricas BS</t>
  </si>
  <si>
    <t>Referencias de ecuaciones alométricas reportadas para el compartimiento de biomasa subterránea</t>
  </si>
  <si>
    <t>Dato reportado del contenido de carbono en el compartimiento de biomasa total en unidades de toneladas por hectárea</t>
  </si>
  <si>
    <t>COS</t>
  </si>
  <si>
    <t>Contenido de Carbono organico del suelo unidades reportadas</t>
  </si>
  <si>
    <t>Unidad reportada en el documento para el contenido de carbono en el suelo</t>
  </si>
  <si>
    <t>Valor reportado en el documento de contenido para el carbono en el suelo</t>
  </si>
  <si>
    <t>Dato reportado del contenido de carbono orgánico en el compartimiento suelo en unidades de toneladas de carbono por hectárea</t>
  </si>
  <si>
    <t>Metodología Tipo de muestreo</t>
  </si>
  <si>
    <t>Descripción de unidades muestrales, parcelas o cuadrantes, etc</t>
  </si>
  <si>
    <t>Metodología Muestreo de suelos-Distancia (m)</t>
  </si>
  <si>
    <t>Detalle de la distancia de muestreo en el compartimiento suelos expresada en metros</t>
  </si>
  <si>
    <t>Metodología Muestreo de suelos-Azimut (°)</t>
  </si>
  <si>
    <t>Ángulo de toma de muestras de suelo</t>
  </si>
  <si>
    <t>Metodología Profundidad (cm)</t>
  </si>
  <si>
    <t>Profundidad de toma de muestras</t>
  </si>
  <si>
    <t>Metodología Densidad aparente e intrumentos</t>
  </si>
  <si>
    <t>Detalle de metodología y herramientas para toma de muestra para densidad aparente</t>
  </si>
  <si>
    <t>Metodología Metodos de análisis</t>
  </si>
  <si>
    <t>Método de análisis en laboratorio</t>
  </si>
  <si>
    <t>Contenido de Carbono MOM unidades reportadas</t>
  </si>
  <si>
    <t>Unidad reportada en el documento para el contenido de carbono en la MOM</t>
  </si>
  <si>
    <t>Valor reportado en el documento de contenido para el carbono en la MOM</t>
  </si>
  <si>
    <t>MOM</t>
  </si>
  <si>
    <t>Dato reportado del contenido de carbono orgánico en el compartimiento Materia Orgánica Muerta en unidades de toneladas de carbono por hectárea</t>
  </si>
  <si>
    <t>Dato reportado del contenido de carbono orgánico en el compartimiento Árboles Muertos en Pie y Tocones Muertos en unidades de toneladas de carbono por hectárea</t>
  </si>
  <si>
    <t>Error asociado reportado en unidades de: Desviación estándar (SD),  Error Estándar (EE), Incertidumbre (U%)</t>
  </si>
  <si>
    <t>Dato reportado del contenido de carbono orgánico en el compartimiento Detritos Finos de Madera en unidades de toneladas de carbono por hectárea</t>
  </si>
  <si>
    <t>Dato reportado del contenido de carbono orgánico en el compartimiento Detritos Gruesos de Madera en unidades de toneladas de carbono por hectárea</t>
  </si>
  <si>
    <t>Dato reportado del contenido de carbono orgánico en el compartimiento Hojarasca en unidades de toneladas de carbono por hectárea</t>
  </si>
  <si>
    <t>Medida de error Hojarasca (SD;EE;U%)</t>
  </si>
  <si>
    <t>Detalle de metodología para el compartimiento MOM</t>
  </si>
  <si>
    <t>Detalle de metodología para el compartimiento DFM-DGM</t>
  </si>
  <si>
    <t xml:space="preserve">Detalle de metodología para el DAP </t>
  </si>
  <si>
    <t>Detalle de metodología para el compartimiento AMP y TO</t>
  </si>
  <si>
    <t xml:space="preserve">Metodología
Hojarasca
</t>
  </si>
  <si>
    <t>Detalle de metodología para el compartimiento Hojarasca</t>
  </si>
  <si>
    <t>Flujo</t>
  </si>
  <si>
    <t>Unidades resportadas CO2 Flux</t>
  </si>
  <si>
    <t>CO2 Flux (Ton * ha-1* año-1)</t>
  </si>
  <si>
    <t>Valor transformado a unidades de Ton*ha-1*año-1</t>
  </si>
  <si>
    <t>Metodologia CO2</t>
  </si>
  <si>
    <t>Detalle de metodologia para el monitoreo de flujo Y CONTROL DE CALIDAD DE LOS DATOS</t>
  </si>
  <si>
    <t>Unidades resportadas CH4 Flux</t>
  </si>
  <si>
    <t>CH4 Flux (Ton * ha-1* año-1)</t>
  </si>
  <si>
    <t>Metodologia CH4</t>
  </si>
  <si>
    <t>N2O Flux (Ton * ha-1* año-1)</t>
  </si>
  <si>
    <t>Metodologia N2O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</si>
</sst>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name val="Calibri"/>
      <family val="2"/>
      <scheme val="minor"/>
    </font>
    <font>
      <u/>
      <sz val="11"/>
      <color theme="10"/>
      <name val="Calibri"/>
      <family val="2"/>
      <scheme val="minor"/>
    </font>
    <font>
      <u/>
      <sz val="11"/>
      <name val="Calibri"/>
      <family val="2"/>
      <scheme val="minor"/>
    </font>
    <font>
      <i/>
      <sz val="11"/>
      <name val="Calibri"/>
      <family val="2"/>
      <scheme val="minor"/>
    </font>
    <font>
      <sz val="9"/>
      <color indexed="81"/>
      <name val="Tahoma"/>
      <charset val="1"/>
    </font>
    <font>
      <b/>
      <sz val="9"/>
      <color indexed="81"/>
      <name val="Tahoma"/>
      <charset val="1"/>
    </font>
    <font>
      <b/>
      <sz val="12"/>
      <color rgb="FF000000"/>
      <name val="Calibri"/>
      <family val="2"/>
      <scheme val="minor"/>
    </font>
    <font>
      <b/>
      <sz val="11"/>
      <color theme="0"/>
      <name val="Calibri"/>
      <family val="2"/>
      <scheme val="minor"/>
    </font>
    <font>
      <sz val="11"/>
      <color rgb="FF242424"/>
      <name val="Aptos Narrow"/>
      <charset val="1"/>
    </font>
    <font>
      <sz val="11"/>
      <color theme="1"/>
      <name val="Calibri"/>
      <family val="2"/>
    </font>
    <font>
      <sz val="11"/>
      <color rgb="FF000000"/>
      <name val="Calibri"/>
      <family val="2"/>
      <scheme val="minor"/>
    </font>
    <font>
      <sz val="11"/>
      <color rgb="FF000000"/>
      <name val="Consolas, Monaco, Menlo, Courie"/>
    </font>
    <font>
      <b/>
      <sz val="11"/>
      <name val="Calibri"/>
      <family val="2"/>
      <scheme val="minor"/>
    </font>
    <font>
      <sz val="11"/>
      <color rgb="FF000000"/>
      <name val="Calibri"/>
      <charset val="1"/>
    </font>
    <font>
      <sz val="11"/>
      <name val="Calibri"/>
      <family val="2"/>
    </font>
    <font>
      <sz val="11"/>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rgb="FFC00000"/>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7030A0"/>
        <bgColor indexed="64"/>
      </patternFill>
    </fill>
    <fill>
      <patternFill patternType="solid">
        <fgColor theme="2" tint="-0.249977111117893"/>
        <bgColor indexed="64"/>
      </patternFill>
    </fill>
    <fill>
      <patternFill patternType="solid">
        <fgColor rgb="FF002060"/>
        <bgColor indexed="64"/>
      </patternFill>
    </fill>
    <fill>
      <patternFill patternType="solid">
        <fgColor theme="0" tint="-0.14999847407452621"/>
        <bgColor theme="0" tint="-0.14999847407452621"/>
      </patternFill>
    </fill>
    <fill>
      <patternFill patternType="solid">
        <fgColor theme="9"/>
        <bgColor theme="9"/>
      </patternFill>
    </fill>
    <fill>
      <patternFill patternType="solid">
        <fgColor theme="8" tint="0.79998168889431442"/>
        <bgColor indexed="64"/>
      </patternFill>
    </fill>
    <fill>
      <patternFill patternType="solid">
        <fgColor rgb="FFDDEBF7"/>
        <bgColor rgb="FF000000"/>
      </patternFill>
    </fill>
    <fill>
      <patternFill patternType="solid">
        <fgColor rgb="FFFF0000"/>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rgb="FFC6E0B4"/>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theme="1"/>
      </top>
      <bottom style="thin">
        <color indexed="64"/>
      </bottom>
      <diagonal/>
    </border>
    <border>
      <left style="thin">
        <color indexed="64"/>
      </left>
      <right/>
      <top/>
      <bottom style="thin">
        <color indexed="64"/>
      </bottom>
      <diagonal/>
    </border>
    <border>
      <left style="thin">
        <color indexed="64"/>
      </left>
      <right/>
      <top style="thin">
        <color theme="1"/>
      </top>
      <bottom style="thin">
        <color indexed="64"/>
      </bottom>
      <diagonal/>
    </border>
    <border>
      <left style="thin">
        <color rgb="FF000000"/>
      </left>
      <right style="thin">
        <color rgb="FF000000"/>
      </right>
      <top style="thin">
        <color theme="1"/>
      </top>
      <bottom style="thin">
        <color rgb="FF000000"/>
      </bottom>
      <diagonal/>
    </border>
    <border>
      <left style="thin">
        <color rgb="FF000000"/>
      </left>
      <right/>
      <top style="thin">
        <color theme="1"/>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6">
    <xf numFmtId="0" fontId="0" fillId="0" borderId="0"/>
    <xf numFmtId="0" fontId="1" fillId="0" borderId="0"/>
    <xf numFmtId="0" fontId="3" fillId="0" borderId="0"/>
    <xf numFmtId="0" fontId="3" fillId="0" borderId="0"/>
    <xf numFmtId="0" fontId="3" fillId="0" borderId="0"/>
    <xf numFmtId="0" fontId="5" fillId="0" borderId="0" applyNumberFormat="0" applyFill="0" applyBorder="0" applyAlignment="0" applyProtection="0"/>
  </cellStyleXfs>
  <cellXfs count="86">
    <xf numFmtId="0" fontId="0" fillId="0" borderId="0" xfId="0"/>
    <xf numFmtId="0" fontId="4" fillId="2" borderId="1" xfId="0" applyFont="1" applyFill="1" applyBorder="1"/>
    <xf numFmtId="0" fontId="4" fillId="0" borderId="1" xfId="0" applyFont="1" applyBorder="1"/>
    <xf numFmtId="0" fontId="6" fillId="2" borderId="1" xfId="5" applyFont="1" applyFill="1" applyBorder="1" applyAlignment="1"/>
    <xf numFmtId="0" fontId="4" fillId="3" borderId="1" xfId="0" applyFont="1" applyFill="1" applyBorder="1" applyAlignment="1">
      <alignment horizontal="right"/>
    </xf>
    <xf numFmtId="0" fontId="6" fillId="3" borderId="1" xfId="5" applyFont="1" applyFill="1" applyBorder="1" applyAlignment="1"/>
    <xf numFmtId="0" fontId="4" fillId="3" borderId="1" xfId="0" applyFont="1" applyFill="1" applyBorder="1" applyAlignment="1">
      <alignment horizontal="center"/>
    </xf>
    <xf numFmtId="0" fontId="11" fillId="11" borderId="1" xfId="0" applyFont="1" applyFill="1" applyBorder="1" applyAlignment="1">
      <alignment horizontal="left" vertical="center" wrapText="1"/>
    </xf>
    <xf numFmtId="0" fontId="11" fillId="11" borderId="5" xfId="0" applyFont="1"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12" fillId="0" borderId="0" xfId="0" applyFont="1" applyAlignment="1">
      <alignment vertical="center"/>
    </xf>
    <xf numFmtId="0" fontId="13" fillId="0" borderId="1" xfId="0" applyFont="1" applyBorder="1" applyAlignment="1">
      <alignment vertical="center"/>
    </xf>
    <xf numFmtId="0" fontId="14" fillId="0" borderId="1" xfId="0" applyFont="1" applyBorder="1" applyAlignment="1">
      <alignment horizontal="left" vertical="center" wrapText="1"/>
    </xf>
    <xf numFmtId="0" fontId="5" fillId="0" borderId="1" xfId="5" applyBorder="1" applyAlignment="1">
      <alignment horizontal="left" vertical="center" wrapText="1"/>
    </xf>
    <xf numFmtId="0" fontId="0" fillId="0" borderId="6" xfId="0" applyBorder="1" applyAlignment="1">
      <alignment horizontal="left" vertical="center" wrapText="1"/>
    </xf>
    <xf numFmtId="0" fontId="15" fillId="12" borderId="1" xfId="0" applyFont="1" applyFill="1" applyBorder="1" applyAlignment="1">
      <alignment horizontal="left" vertical="center" wrapText="1"/>
    </xf>
    <xf numFmtId="0" fontId="0" fillId="12" borderId="1" xfId="0" applyFill="1" applyBorder="1" applyAlignment="1">
      <alignment horizontal="left" vertical="center" wrapText="1"/>
    </xf>
    <xf numFmtId="0" fontId="0" fillId="0" borderId="5"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16" fillId="13"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6" fillId="2" borderId="1" xfId="5" applyFont="1" applyFill="1" applyBorder="1" applyAlignment="1">
      <alignment horizontal="left" vertical="top" wrapText="1"/>
    </xf>
    <xf numFmtId="0" fontId="4"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4" fillId="0" borderId="1" xfId="0" applyFont="1" applyBorder="1" applyAlignment="1">
      <alignment horizontal="center" vertical="center"/>
    </xf>
    <xf numFmtId="0" fontId="4" fillId="6"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17" fillId="0" borderId="0" xfId="0" applyFont="1"/>
    <xf numFmtId="0" fontId="4" fillId="3" borderId="1" xfId="0" applyFont="1" applyFill="1" applyBorder="1"/>
    <xf numFmtId="14" fontId="4" fillId="3" borderId="1" xfId="0" applyNumberFormat="1" applyFont="1" applyFill="1" applyBorder="1"/>
    <xf numFmtId="2" fontId="4" fillId="3" borderId="1" xfId="0" applyNumberFormat="1" applyFont="1" applyFill="1" applyBorder="1"/>
    <xf numFmtId="0" fontId="4" fillId="14" borderId="1" xfId="0" applyFont="1" applyFill="1" applyBorder="1"/>
    <xf numFmtId="0" fontId="5" fillId="14" borderId="1" xfId="5" applyFill="1" applyBorder="1"/>
    <xf numFmtId="0" fontId="4" fillId="14" borderId="1" xfId="0" applyFont="1" applyFill="1" applyBorder="1" applyAlignment="1">
      <alignment wrapText="1"/>
    </xf>
    <xf numFmtId="9" fontId="4" fillId="14" borderId="1" xfId="0" applyNumberFormat="1" applyFont="1" applyFill="1" applyBorder="1"/>
    <xf numFmtId="0" fontId="18" fillId="15" borderId="0" xfId="0" applyFont="1" applyFill="1"/>
    <xf numFmtId="0" fontId="4" fillId="5" borderId="1" xfId="0" applyFont="1" applyFill="1" applyBorder="1" applyAlignment="1">
      <alignment horizontal="center" vertical="center" wrapText="1"/>
    </xf>
    <xf numFmtId="3" fontId="4" fillId="14" borderId="1" xfId="0" applyNumberFormat="1" applyFont="1" applyFill="1" applyBorder="1" applyAlignment="1">
      <alignment wrapText="1"/>
    </xf>
    <xf numFmtId="3" fontId="4" fillId="14" borderId="1" xfId="0" applyNumberFormat="1" applyFont="1" applyFill="1" applyBorder="1"/>
    <xf numFmtId="0" fontId="4" fillId="16" borderId="1" xfId="0" applyFont="1" applyFill="1" applyBorder="1"/>
    <xf numFmtId="3" fontId="4" fillId="3" borderId="1" xfId="0" applyNumberFormat="1" applyFont="1" applyFill="1" applyBorder="1"/>
    <xf numFmtId="16" fontId="4" fillId="14" borderId="1" xfId="0" applyNumberFormat="1" applyFont="1" applyFill="1" applyBorder="1"/>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19" fillId="0" borderId="1" xfId="0" applyFont="1" applyBorder="1" applyAlignment="1">
      <alignment horizontal="left" vertical="center" wrapText="1"/>
    </xf>
    <xf numFmtId="0" fontId="16" fillId="13" borderId="1" xfId="0" applyFont="1" applyFill="1" applyBorder="1" applyAlignment="1">
      <alignment horizontal="center" vertical="center"/>
    </xf>
    <xf numFmtId="0" fontId="11" fillId="11" borderId="12" xfId="0" applyFont="1" applyFill="1" applyBorder="1" applyAlignment="1">
      <alignment horizontal="left" vertical="center" wrapText="1"/>
    </xf>
    <xf numFmtId="0" fontId="19" fillId="0" borderId="5" xfId="0" applyFont="1" applyBorder="1" applyAlignment="1">
      <alignment horizontal="left" vertical="center" wrapText="1"/>
    </xf>
    <xf numFmtId="0" fontId="0" fillId="0" borderId="11" xfId="0" applyBorder="1" applyAlignment="1">
      <alignment wrapText="1"/>
    </xf>
    <xf numFmtId="0" fontId="5" fillId="14" borderId="0" xfId="5" applyFill="1" applyAlignment="1">
      <alignment wrapText="1"/>
    </xf>
    <xf numFmtId="0" fontId="2" fillId="14" borderId="0" xfId="0" applyFont="1" applyFill="1"/>
    <xf numFmtId="0" fontId="5" fillId="14" borderId="1" xfId="5" applyFill="1" applyBorder="1" applyAlignment="1"/>
    <xf numFmtId="0" fontId="17" fillId="14" borderId="0" xfId="0" applyFont="1" applyFill="1"/>
    <xf numFmtId="49" fontId="4" fillId="14" borderId="1" xfId="0" applyNumberFormat="1" applyFont="1" applyFill="1" applyBorder="1"/>
    <xf numFmtId="14" fontId="4" fillId="14" borderId="1" xfId="0" applyNumberFormat="1" applyFont="1" applyFill="1" applyBorder="1"/>
    <xf numFmtId="0" fontId="4" fillId="3" borderId="1" xfId="0" applyFont="1" applyFill="1" applyBorder="1" applyAlignment="1">
      <alignment wrapText="1"/>
    </xf>
    <xf numFmtId="0" fontId="12" fillId="0" borderId="0" xfId="0" applyFont="1"/>
    <xf numFmtId="0" fontId="4" fillId="8" borderId="1" xfId="0" applyFont="1" applyFill="1" applyBorder="1" applyAlignment="1">
      <alignment horizontal="center" vertical="center" wrapText="1"/>
    </xf>
    <xf numFmtId="0" fontId="4" fillId="17" borderId="1" xfId="0" applyFont="1" applyFill="1" applyBorder="1"/>
    <xf numFmtId="0" fontId="4" fillId="17" borderId="1" xfId="0" applyFont="1" applyFill="1" applyBorder="1" applyAlignment="1">
      <alignment wrapText="1"/>
    </xf>
    <xf numFmtId="0" fontId="12" fillId="0" borderId="0" xfId="0" applyFont="1" applyAlignment="1">
      <alignment wrapText="1"/>
    </xf>
    <xf numFmtId="0" fontId="5" fillId="17" borderId="1" xfId="5" applyFill="1" applyBorder="1"/>
    <xf numFmtId="0" fontId="4" fillId="18" borderId="1" xfId="0" applyFont="1" applyFill="1" applyBorder="1"/>
    <xf numFmtId="14" fontId="4" fillId="17" borderId="1" xfId="0" applyNumberFormat="1" applyFont="1" applyFill="1" applyBorder="1"/>
    <xf numFmtId="0" fontId="18" fillId="19" borderId="0" xfId="0" applyFont="1" applyFill="1"/>
    <xf numFmtId="0" fontId="5" fillId="17" borderId="1" xfId="5" applyFill="1" applyBorder="1" applyAlignment="1"/>
    <xf numFmtId="0" fontId="17" fillId="17" borderId="0" xfId="0" applyFont="1" applyFill="1"/>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cellXfs>
  <cellStyles count="6">
    <cellStyle name="Hipervínculo" xfId="5" builtinId="8"/>
    <cellStyle name="Normal" xfId="0" builtinId="0"/>
    <cellStyle name="Normal 2" xfId="1" xr:uid="{2F849439-60F3-4732-851F-87CF8ED5C7B6}"/>
    <cellStyle name="Normal 3" xfId="2" xr:uid="{C55982F3-131B-476D-BA15-407195BE0DD0}"/>
    <cellStyle name="Normal 4" xfId="3" xr:uid="{2254C442-1198-46D2-82CE-A59A7862F385}"/>
    <cellStyle name="Normal 4 2" xfId="4" xr:uid="{E18AA540-1462-49FF-826B-985E8E712B45}"/>
  </cellStyles>
  <dxfs count="123">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border outline="0">
        <top style="thin">
          <color indexed="64"/>
        </top>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left" vertical="center" textRotation="0" wrapText="1" indent="0" justifyLastLine="0" shrinkToFit="0" readingOrder="0"/>
      <border diagonalUp="0" diagonalDown="0">
        <left style="thin">
          <color indexed="64"/>
        </left>
        <right style="thin">
          <color indexed="64"/>
        </right>
        <top/>
        <bottom/>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numFmt numFmtId="0" formatCode="Genera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alignment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auto="1"/>
        <name val="Calibri"/>
        <family val="2"/>
        <scheme val="minor"/>
      </font>
      <alignment textRotation="0" wrapText="0" indent="0" justifyLastLine="0" shrinkToFit="0" readingOrder="0"/>
    </dxf>
    <dxf>
      <font>
        <strike val="0"/>
        <outline val="0"/>
        <shadow val="0"/>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776E1037-EEE4-4B47-9994-E3D64EE6F7B1}" autoFormatId="16" applyNumberFormats="0" applyBorderFormats="0" applyFontFormats="0" applyPatternFormats="0" applyAlignmentFormats="0" applyWidthHeightFormats="0">
  <queryTableRefresh nextId="120" unboundColumnsRight="87">
    <queryTableFields count="110">
      <queryTableField id="1" name="BibliographyType" tableColumnId="1"/>
      <queryTableField id="2" name="ISBN" tableColumnId="2"/>
      <queryTableField id="119" dataBound="0" tableColumnId="119"/>
      <queryTableField id="3" name="Identifier" tableColumnId="3"/>
      <queryTableField id="4" name="Author" tableColumnId="4"/>
      <queryTableField id="5" name="Title" tableColumnId="5"/>
      <queryTableField id="6" name="Journal" tableColumnId="6"/>
      <queryTableField id="7" name="Volume" tableColumnId="7"/>
      <queryTableField id="8" name="Number" tableColumnId="8"/>
      <queryTableField id="9" name="Month" tableColumnId="9"/>
      <queryTableField id="10" name="Pages" tableColumnId="10"/>
      <queryTableField id="11" name="Year" tableColumnId="11"/>
      <queryTableField id="12" name="Address" tableColumnId="12"/>
      <queryTableField id="13" name="Note" tableColumnId="13"/>
      <queryTableField id="14" name="URL" tableColumnId="14"/>
      <queryTableField id="15" name="Booktitle" tableColumnId="15"/>
      <queryTableField id="16" name="Chapter" tableColumnId="16"/>
      <queryTableField id="19" name="Editor" tableColumnId="19"/>
      <queryTableField id="20" name="Publisher" tableColumnId="20"/>
      <queryTableField id="23" name="Institution" tableColumnId="23"/>
      <queryTableField id="24" name="Organizations" tableColumnId="24"/>
      <queryTableField id="27" name="Custom1" tableColumnId="27"/>
      <queryTableField id="29" name="Custom3" tableColumnId="29"/>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 id="39" dataBound="0" tableColumnId="39"/>
      <queryTableField id="40" dataBound="0" tableColumnId="40"/>
      <queryTableField id="41" dataBound="0" tableColumnId="41"/>
      <queryTableField id="42" dataBound="0" tableColumnId="42"/>
      <queryTableField id="43" dataBound="0" tableColumnId="43"/>
      <queryTableField id="44" dataBound="0" tableColumnId="44"/>
      <queryTableField id="45" dataBound="0" tableColumnId="45"/>
      <queryTableField id="46" dataBound="0" tableColumnId="46"/>
      <queryTableField id="47" dataBound="0" tableColumnId="47"/>
      <queryTableField id="48" dataBound="0" tableColumnId="48"/>
      <queryTableField id="49" dataBound="0" tableColumnId="49"/>
      <queryTableField id="50" dataBound="0" tableColumnId="50"/>
      <queryTableField id="51" dataBound="0" tableColumnId="51"/>
      <queryTableField id="52" dataBound="0" tableColumnId="52"/>
      <queryTableField id="53" dataBound="0" tableColumnId="53"/>
      <queryTableField id="54" dataBound="0" tableColumnId="54"/>
      <queryTableField id="55" dataBound="0" tableColumnId="55"/>
      <queryTableField id="56" dataBound="0" tableColumnId="56"/>
      <queryTableField id="57" dataBound="0" tableColumnId="57"/>
      <queryTableField id="58" dataBound="0" tableColumnId="58"/>
      <queryTableField id="59" dataBound="0" tableColumnId="59"/>
      <queryTableField id="60" dataBound="0" tableColumnId="60"/>
      <queryTableField id="61" dataBound="0" tableColumnId="61"/>
      <queryTableField id="62" dataBound="0" tableColumnId="62"/>
      <queryTableField id="63" dataBound="0" tableColumnId="63"/>
      <queryTableField id="64" dataBound="0" tableColumnId="64"/>
      <queryTableField id="65" dataBound="0" tableColumnId="65"/>
      <queryTableField id="66" dataBound="0" tableColumnId="66"/>
      <queryTableField id="67" dataBound="0" tableColumnId="67"/>
      <queryTableField id="68" dataBound="0" tableColumnId="68"/>
      <queryTableField id="69" dataBound="0" tableColumnId="69"/>
      <queryTableField id="70" dataBound="0" tableColumnId="70"/>
      <queryTableField id="71" dataBound="0" tableColumnId="71"/>
      <queryTableField id="72" dataBound="0" tableColumnId="72"/>
      <queryTableField id="73" dataBound="0" tableColumnId="73"/>
      <queryTableField id="74" dataBound="0" tableColumnId="74"/>
      <queryTableField id="75" dataBound="0" tableColumnId="75"/>
      <queryTableField id="76" dataBound="0" tableColumnId="76"/>
      <queryTableField id="77" dataBound="0" tableColumnId="77"/>
      <queryTableField id="78" dataBound="0" tableColumnId="78"/>
      <queryTableField id="79" dataBound="0" tableColumnId="79"/>
      <queryTableField id="80" dataBound="0" tableColumnId="80"/>
      <queryTableField id="81" dataBound="0" tableColumnId="81"/>
      <queryTableField id="82" dataBound="0" tableColumnId="82"/>
      <queryTableField id="83" dataBound="0" tableColumnId="83"/>
      <queryTableField id="84" dataBound="0" tableColumnId="84"/>
      <queryTableField id="85" dataBound="0" tableColumnId="85"/>
      <queryTableField id="86" dataBound="0" tableColumnId="86"/>
      <queryTableField id="87" dataBound="0" tableColumnId="87"/>
      <queryTableField id="88" dataBound="0" tableColumnId="88"/>
      <queryTableField id="89" dataBound="0" tableColumnId="89"/>
      <queryTableField id="90" dataBound="0" tableColumnId="90"/>
      <queryTableField id="91" dataBound="0" tableColumnId="91"/>
      <queryTableField id="92" dataBound="0" tableColumnId="92"/>
      <queryTableField id="93" dataBound="0" tableColumnId="93"/>
      <queryTableField id="94" dataBound="0" tableColumnId="94"/>
      <queryTableField id="95" dataBound="0" tableColumnId="95"/>
      <queryTableField id="96" dataBound="0" tableColumnId="96"/>
      <queryTableField id="97" dataBound="0" tableColumnId="97"/>
      <queryTableField id="98" dataBound="0" tableColumnId="98"/>
      <queryTableField id="99" dataBound="0" tableColumnId="99"/>
      <queryTableField id="100" dataBound="0" tableColumnId="100"/>
      <queryTableField id="101" dataBound="0" tableColumnId="101"/>
      <queryTableField id="102" dataBound="0" tableColumnId="102"/>
      <queryTableField id="103" dataBound="0" tableColumnId="103"/>
      <queryTableField id="104" dataBound="0" tableColumnId="104"/>
      <queryTableField id="105" dataBound="0" tableColumnId="105"/>
      <queryTableField id="106" dataBound="0" tableColumnId="106"/>
      <queryTableField id="107" dataBound="0" tableColumnId="107"/>
      <queryTableField id="108" dataBound="0" tableColumnId="108"/>
      <queryTableField id="109" dataBound="0" tableColumnId="109"/>
      <queryTableField id="110" dataBound="0" tableColumnId="110"/>
      <queryTableField id="111" dataBound="0" tableColumnId="111"/>
      <queryTableField id="112" dataBound="0" tableColumnId="112"/>
      <queryTableField id="113" dataBound="0" tableColumnId="113"/>
      <queryTableField id="114" dataBound="0" tableColumnId="114"/>
      <queryTableField id="115" dataBound="0" tableColumnId="115"/>
      <queryTableField id="116" dataBound="0" tableColumnId="116"/>
      <queryTableField id="117" dataBound="0" tableColumnId="117"/>
      <queryTableField id="118" dataBound="0" tableColumnId="118"/>
    </queryTableFields>
    <queryTableDeletedFields count="9">
      <deletedField name="School"/>
      <deletedField name="Annote"/>
      <deletedField name="Howpublished"/>
      <deletedField name="ReportType"/>
      <deletedField name="Edition"/>
      <deletedField name="Series"/>
      <deletedField name="Custom2"/>
      <deletedField name="Custom4"/>
      <deletedField name="Custom5"/>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7C5EEC-7DD3-406D-80D7-44448D1DD1CC}" name="Documentos2025_1" displayName="Documentos2025_1" ref="A1:DF54" tableType="queryTable" totalsRowShown="0" headerRowDxfId="122" dataDxfId="121">
  <autoFilter ref="A1:DF54" xr:uid="{797C5EEC-7DD3-406D-80D7-44448D1DD1CC}"/>
  <tableColumns count="110">
    <tableColumn id="1" xr3:uid="{502B906F-F0AC-4590-BC30-95843AF8AF43}" uniqueName="1" name="BibliographyType" queryTableFieldId="1" dataDxfId="120"/>
    <tableColumn id="2" xr3:uid="{BEB80207-0E34-45A5-832F-EE8E0D7FEBF3}" uniqueName="2" name="ISBN" queryTableFieldId="2" dataDxfId="119"/>
    <tableColumn id="119" xr3:uid="{B5A41843-DADD-4F15-8142-63ADDFF1A7AF}" uniqueName="119" name="DOI" queryTableFieldId="119" dataDxfId="118"/>
    <tableColumn id="3" xr3:uid="{AAD04087-9DC3-40E4-B499-E38EDD598EBA}" uniqueName="3" name="Identifier" queryTableFieldId="3" dataDxfId="117"/>
    <tableColumn id="4" xr3:uid="{D662E587-2556-4836-8B6E-50BC22C37660}" uniqueName="4" name="Author" queryTableFieldId="4" dataDxfId="116"/>
    <tableColumn id="5" xr3:uid="{3BE4A5C4-2D01-495E-AB43-5854D2EE3C3B}" uniqueName="5" name="Title" queryTableFieldId="5" dataDxfId="115"/>
    <tableColumn id="6" xr3:uid="{5347D09D-2CA0-4EDA-B9B8-A0CE39E2B940}" uniqueName="6" name="Journal" queryTableFieldId="6" dataDxfId="114"/>
    <tableColumn id="7" xr3:uid="{8B5677C9-A594-4586-B5EA-BBDEAD165AE6}" uniqueName="7" name="Volume" queryTableFieldId="7" dataDxfId="113"/>
    <tableColumn id="8" xr3:uid="{F65F2770-ECA4-46E8-BD26-6AB8F8BC8BEE}" uniqueName="8" name="Number" queryTableFieldId="8" dataDxfId="112"/>
    <tableColumn id="9" xr3:uid="{C3667453-AF69-49DF-A819-A480D49FB580}" uniqueName="9" name="Month" queryTableFieldId="9" dataDxfId="111"/>
    <tableColumn id="10" xr3:uid="{368A6400-EE2B-4175-85E8-BB49BF36F8A1}" uniqueName="10" name="Pages" queryTableFieldId="10" dataDxfId="110"/>
    <tableColumn id="11" xr3:uid="{7EF2D682-8667-4D7E-B1F7-53F629C35975}" uniqueName="11" name="Year" queryTableFieldId="11" dataDxfId="109"/>
    <tableColumn id="12" xr3:uid="{D8BD4C74-688F-43FB-9E58-4F31B579B7B9}" uniqueName="12" name="Email" queryTableFieldId="12" dataDxfId="108"/>
    <tableColumn id="13" xr3:uid="{6DD4FD59-D9C0-4A0D-9B52-FCACED20D6C6}" uniqueName="13" name="Note" queryTableFieldId="13" dataDxfId="107"/>
    <tableColumn id="14" xr3:uid="{64B9519C-8B51-4F69-A5AE-4DCC86906031}" uniqueName="14" name="URL" queryTableFieldId="14" dataDxfId="106"/>
    <tableColumn id="15" xr3:uid="{4AB811CB-325A-4405-8488-FD09AF17499A}" uniqueName="15" name="Booktitle" queryTableFieldId="15" dataDxfId="105"/>
    <tableColumn id="16" xr3:uid="{E906B174-6AE4-4D1B-9F23-83756FDE1088}" uniqueName="16" name="Chapter" queryTableFieldId="16" dataDxfId="104"/>
    <tableColumn id="19" xr3:uid="{4C1729C6-52FD-4D6E-8E6C-F6462D271249}" uniqueName="19" name="Editor" queryTableFieldId="19" dataDxfId="103"/>
    <tableColumn id="20" xr3:uid="{CD538C81-47C7-4549-B304-244105FE5C5C}" uniqueName="20" name="Publisher" queryTableFieldId="20" dataDxfId="102"/>
    <tableColumn id="23" xr3:uid="{6E34BC9F-1C76-4ED5-86DA-C96556062E32}" uniqueName="23" name="Institution" queryTableFieldId="23" dataDxfId="101"/>
    <tableColumn id="24" xr3:uid="{497742AC-8A7A-4D11-B727-43A28694D830}" uniqueName="24" name="Organizations" queryTableFieldId="24" dataDxfId="100"/>
    <tableColumn id="27" xr3:uid="{E6D50AF8-6644-485B-9D51-D39F3F7514F6}" uniqueName="27" name="Abstract" queryTableFieldId="27" dataDxfId="99"/>
    <tableColumn id="29" xr3:uid="{CD7E0563-E2B7-4C9D-B3AC-2928A4B8495A}" uniqueName="29" name="KeyWords" queryTableFieldId="29" dataDxfId="98"/>
    <tableColumn id="32" xr3:uid="{FBA21A1E-71B7-4908-BC1C-C8ACBAC037CC}" uniqueName="32" name="Validación en campo" queryTableFieldId="32" dataDxfId="97"/>
    <tableColumn id="33" xr3:uid="{6DC94E9B-5EA9-4DBC-8691-615B9E8F239A}" uniqueName="33" name="Datos disponibles en repositorio" queryTableFieldId="33" dataDxfId="96"/>
    <tableColumn id="34" xr3:uid="{B99F3AF8-EEE0-4A52-98F3-9C24FCB53347}" uniqueName="34" name="Region Natural" queryTableFieldId="34" dataDxfId="95"/>
    <tableColumn id="35" xr3:uid="{0FFE1F56-452B-4B82-9F85-582F9FE3C014}" uniqueName="35" name="Departamento" queryTableFieldId="35" dataDxfId="94"/>
    <tableColumn id="36" xr3:uid="{B8B3FDF1-EB18-4626-89C8-CA7C22060AEE}" uniqueName="36" name="Municipio" queryTableFieldId="36" dataDxfId="93"/>
    <tableColumn id="37" xr3:uid="{08726476-DDED-4AA1-AF03-FC678C2CC623}" uniqueName="37" name="Vereda" queryTableFieldId="37" dataDxfId="92"/>
    <tableColumn id="38" xr3:uid="{2270D1FD-071E-4C0F-A6CF-42007C116E63}" uniqueName="38" name="Sitio de muestreo" queryTableFieldId="38" dataDxfId="91"/>
    <tableColumn id="39" xr3:uid="{E6493C73-3638-4B88-B5FD-F2F9D6396FB4}" uniqueName="39" name="Tipo de localización" queryTableFieldId="39" dataDxfId="90"/>
    <tableColumn id="40" xr3:uid="{022E52B8-8C0D-4D89-B1C4-8C9CC6D9317A}" uniqueName="40" name="Latitud" queryTableFieldId="40" dataDxfId="89"/>
    <tableColumn id="41" xr3:uid="{9CACDF68-D4E1-4888-A126-8E655262763C}" uniqueName="41" name="Longitud" queryTableFieldId="41" dataDxfId="88"/>
    <tableColumn id="42" xr3:uid="{C4D167E7-8226-468A-B2AE-5B89DF91EC32}" uniqueName="42" name="Altitud" queryTableFieldId="42" dataDxfId="87"/>
    <tableColumn id="43" xr3:uid="{D613714B-336D-45C6-9202-7C4A7621DB0C}" uniqueName="43" name="Ecosistema / Cobertura" queryTableFieldId="43" dataDxfId="86"/>
    <tableColumn id="44" xr3:uid="{CA2A30E5-1578-4ECC-8D82-A58808CFBE64}" uniqueName="44" name="Cobertura IPCC" queryTableFieldId="44" dataDxfId="85"/>
    <tableColumn id="45" xr3:uid="{DCDE3AC2-B0BD-49E5-A7E5-E53F44904F00}" uniqueName="45" name="Cobertura CLC" queryTableFieldId="45" dataDxfId="84"/>
    <tableColumn id="46" xr3:uid="{2D2D064A-4C97-476C-91FD-D391CF9066A6}" uniqueName="46" name="Cobertura IGBP" queryTableFieldId="46" dataDxfId="83"/>
    <tableColumn id="47" xr3:uid="{1F6DAC57-E57B-4666-B913-89B0AE78DD48}" uniqueName="47" name="Cobertura nombre local" queryTableFieldId="47" dataDxfId="82"/>
    <tableColumn id="48" xr3:uid="{C42EE8F8-F85E-4373-8417-D867D332EA72}" uniqueName="48" name="Suelo IPCC" queryTableFieldId="48" dataDxfId="81"/>
    <tableColumn id="49" xr3:uid="{C99C73EA-005B-424A-AFD0-4B62B075A8B6}" uniqueName="49" name="Estado conservación" queryTableFieldId="49" dataDxfId="80"/>
    <tableColumn id="50" xr3:uid="{3E5CAFC3-FC83-46BF-8608-EB190E1DAE8C}" uniqueName="50" name="Tipo de disturbio" queryTableFieldId="50" dataDxfId="79"/>
    <tableColumn id="51" xr3:uid="{4CBE545E-C74F-4EFE-B11D-EDDDF364DC49}" uniqueName="51" name="Anos de disturbio" queryTableFieldId="51" dataDxfId="78"/>
    <tableColumn id="52" xr3:uid="{29460709-1FAF-47A9-8A9D-DA8A7B337FD2}" uniqueName="52" name="anos_desde_fin_disturbio" queryTableFieldId="52" dataDxfId="77"/>
    <tableColumn id="53" xr3:uid="{7B69C859-C572-4B85-A7C3-6B5C6460996D}" uniqueName="53" name="Proteccion_legal" queryTableFieldId="53" dataDxfId="76"/>
    <tableColumn id="54" xr3:uid="{71BD12E8-C7FE-49F9-853C-408B47D7D27C}" uniqueName="54" name="Tipo muestreo" queryTableFieldId="54" dataDxfId="75"/>
    <tableColumn id="55" xr3:uid="{89428A0B-8174-4EBC-9AB8-81BFF5ABFFDC}" uniqueName="55" name="Tipo unidad de muestreo" queryTableFieldId="55" dataDxfId="74"/>
    <tableColumn id="56" xr3:uid="{6C4601D6-0B2E-44E3-AD29-99B66FB09F28}" uniqueName="56" name="Tamaño unidad de muestreo" queryTableFieldId="56" dataDxfId="73"/>
    <tableColumn id="57" xr3:uid="{78904213-BEDE-4180-AEF1-3CC71E8A3638}" uniqueName="57" name="Forma unidad de muestreo" queryTableFieldId="57" dataDxfId="72"/>
    <tableColumn id="58" xr3:uid="{D70983C8-DDD8-4B1E-A720-94C6222CB840}" uniqueName="58" name="No. unidad de muestreo" queryTableFieldId="58" dataDxfId="71"/>
    <tableColumn id="59" xr3:uid="{1C6CA9CD-187B-46C2-BBDB-6DA520F3132C}" uniqueName="59" name="Compartimentos" queryTableFieldId="59" dataDxfId="70"/>
    <tableColumn id="60" xr3:uid="{55392EAC-7E61-4F17-A18E-8A3B72AB8923}" uniqueName="60" name="Fecha instalación unidad de muestreo" queryTableFieldId="60" dataDxfId="69"/>
    <tableColumn id="61" xr3:uid="{3584B96F-3D43-47FF-922F-8741E0CCCF82}" uniqueName="61" name="Periodicidad de muestreo" queryTableFieldId="61" dataDxfId="68"/>
    <tableColumn id="62" xr3:uid="{DA7C1BEC-C858-4032-B7A6-B2599D93C6A8}" uniqueName="62" name="Factor de conversión" queryTableFieldId="62" dataDxfId="67"/>
    <tableColumn id="63" xr3:uid="{8D096C5C-481F-4D19-BAE6-E6976B1B7D39}" uniqueName="63" name="Contenido de Carbono en biomasa aérea unidades reportadas " queryTableFieldId="63" dataDxfId="66"/>
    <tableColumn id="64" xr3:uid="{DDC64B87-0201-4CE1-8707-8C5571E33FF7}" uniqueName="64" name="Contenido de Carbono en biomasa aérea valor reportado" queryTableFieldId="64" dataDxfId="65"/>
    <tableColumn id="65" xr3:uid="{4E4100C7-BF38-47D8-8320-15657F1CCC9D}" uniqueName="65" name="Contenido de Carbono en biomasa aérea (tC/ha)2" queryTableFieldId="65" dataDxfId="64"/>
    <tableColumn id="66" xr3:uid="{4166B6B7-4DC7-465C-B6D4-C7B3CDDFEB0E}" uniqueName="66" name="Medida de error (SD;EE;U%)" queryTableFieldId="66" dataDxfId="63"/>
    <tableColumn id="67" xr3:uid="{8FC87779-E0FC-4C4F-BBBF-AC6945053005}" uniqueName="67" name="Metodología_x000a_Tamaño de categoria" queryTableFieldId="67" dataDxfId="62"/>
    <tableColumn id="68" xr3:uid="{9E1658FB-D6BA-46DF-8817-9CE860722CEE}" uniqueName="68" name="Metodología_x000a_Tamaño de muestra" queryTableFieldId="68" dataDxfId="61"/>
    <tableColumn id="69" xr3:uid="{68568E58-AF39-46AF-AF82-DBA6E92160B6}" uniqueName="69" name="Metodología_x000a_Ecuaciones alométricas BA" queryTableFieldId="69" dataDxfId="60"/>
    <tableColumn id="70" xr3:uid="{311E3E0B-E9B9-4D2F-A88A-A9AA0437ABE1}" uniqueName="70" name="Contenido de Carbono en biomasa subterránea unidades reportadas " queryTableFieldId="70" dataDxfId="59"/>
    <tableColumn id="71" xr3:uid="{FDC82339-61A7-42D3-94E0-494BAE172A37}" uniqueName="71" name="Contenido de Carbono en biomasa subterranea valor reportado" queryTableFieldId="71" dataDxfId="58"/>
    <tableColumn id="72" xr3:uid="{9CC63D65-8B1F-4FDF-91CD-184B3D1289E4}" uniqueName="72" name="Contenido de Carbono en biomasa subterránea (tC/ha)" queryTableFieldId="72" dataDxfId="57"/>
    <tableColumn id="73" xr3:uid="{9C15C0AD-E6FA-4616-90E0-883C8A6B31BE}" uniqueName="73" name="Medida de error BS (SD;EE;U%)" queryTableFieldId="73" dataDxfId="56"/>
    <tableColumn id="74" xr3:uid="{3231E965-298B-42BC-8341-547C41867BAC}" uniqueName="74" name="Metodología_x000a_Ecuaciones alométricas BS" queryTableFieldId="74" dataDxfId="55"/>
    <tableColumn id="75" xr3:uid="{06D63302-B492-4015-9038-D3249D383140}" uniqueName="75" name="Contenido de Carbono en biomasa total (BA+BS) (tC/ha) " queryTableFieldId="75" dataDxfId="54"/>
    <tableColumn id="76" xr3:uid="{B704D165-E518-438C-A74C-F41C8EF9284C}" uniqueName="76" name="Medida de error BT (SD;EE;U%)" queryTableFieldId="76" dataDxfId="53"/>
    <tableColumn id="77" xr3:uid="{8DC2B45E-967F-4132-8638-95A8993AA483}" uniqueName="77" name="Contenido de Carbono organico del suelo unidades reportadas " queryTableFieldId="77" dataDxfId="52"/>
    <tableColumn id="78" xr3:uid="{5B595AC0-9C57-4985-8F25-1A46BC7C72E3}" uniqueName="78" name="Contenido de Carbono organico del suelo valor reportado" queryTableFieldId="78" dataDxfId="51"/>
    <tableColumn id="79" xr3:uid="{601CED6D-EF0E-4E7B-A65B-712017ACCD64}" uniqueName="79" name="Contenido de Carbono orgánico en el suelo (COS) (tC/ha)" queryTableFieldId="79" dataDxfId="50"/>
    <tableColumn id="80" xr3:uid="{AE4A241E-84A1-4A65-B90D-9DBCFB38AAA8}" uniqueName="80" name="Medida de error COS (SD;EE;U%)" queryTableFieldId="80" dataDxfId="49"/>
    <tableColumn id="81" xr3:uid="{F415B937-B7C9-4933-9648-C7F5279DD934}" uniqueName="81" name="Metodología_x000a_Tipo de muestreo" queryTableFieldId="81" dataDxfId="48"/>
    <tableColumn id="82" xr3:uid="{5B8A4319-D11C-45DF-862A-7B3B48A10038}" uniqueName="82" name="Metodología_x000a_Muestreo de suelos-Distancia (m)" queryTableFieldId="82" dataDxfId="47"/>
    <tableColumn id="83" xr3:uid="{513ADA45-B463-4102-8A90-10590E9CB5B1}" uniqueName="83" name="Metodología_x000a_Muestreo de suelos-Azimut (°)" queryTableFieldId="83" dataDxfId="46"/>
    <tableColumn id="84" xr3:uid="{867A4905-8E2E-4FD7-A8E4-D97E4ECD7F1A}" uniqueName="84" name="Metodología_x000a_Profundidad (cm)" queryTableFieldId="84" dataDxfId="45"/>
    <tableColumn id="85" xr3:uid="{1779E2C2-B33A-4C1F-A427-67BB78DE944E}" uniqueName="85" name="Metodología_x000a_Densidad aparente e instrumentos" queryTableFieldId="85" dataDxfId="44"/>
    <tableColumn id="86" xr3:uid="{0DB22E64-10D4-4F73-B7FD-7EA6DE97029F}" uniqueName="86" name="Metodología_x000a_Metodos de análisis" queryTableFieldId="86" dataDxfId="43"/>
    <tableColumn id="87" xr3:uid="{92C0F4E5-021E-48F7-B591-71853A5696C6}" uniqueName="87" name="Contenido de Carbono MOM unidades reportadas " queryTableFieldId="87" dataDxfId="42"/>
    <tableColumn id="88" xr3:uid="{9B90F651-5DD0-4C86-864A-B716E7D2AB38}" uniqueName="88" name="Contenido de Carbono MOM valor reportado" queryTableFieldId="88" dataDxfId="41"/>
    <tableColumn id="89" xr3:uid="{8543D4F4-9370-48D3-9167-1C1DE3FD0CCB}" uniqueName="89" name="Contenido de Carbono en MOM total (tC/ha)" queryTableFieldId="89" dataDxfId="40"/>
    <tableColumn id="90" xr3:uid="{21C33754-FD0E-4439-8E4F-43A0E9EF3C1E}" uniqueName="90" name="Medida de error MOM (SD;EE;U%)" queryTableFieldId="90" dataDxfId="39"/>
    <tableColumn id="91" xr3:uid="{876C2429-6F1F-43E2-AD01-0C5937767948}" uniqueName="91" name="Contenido de Carbono en Árboles Muertos en Pie (AMP) Y Tocones Muertos (TM) (tC/ha)" queryTableFieldId="91" dataDxfId="38"/>
    <tableColumn id="92" xr3:uid="{580C3D77-2358-4AFD-8DCC-759767C3ACE6}" uniqueName="92" name="Medida de error AMP_TM (SD;EE;U%)" queryTableFieldId="92" dataDxfId="37"/>
    <tableColumn id="93" xr3:uid="{F2C395DC-AB5B-4355-8E6B-0099CEF0AA73}" uniqueName="93" name="Contenido de Carbono en Detritos Finos de Madera (DFM) (tC/ha)" queryTableFieldId="93" dataDxfId="36"/>
    <tableColumn id="94" xr3:uid="{C40F383D-B77A-4AAC-B920-276BEA134B65}" uniqueName="94" name="Medida de error DFM (SD;EE;U%)" queryTableFieldId="94" dataDxfId="35"/>
    <tableColumn id="95" xr3:uid="{D22DA0BF-2554-4DA8-8B4F-B338659E0656}" uniqueName="95" name="Contenido de Carbono en Detritos Gruesos de Madera (DGM) (tC/ha) " queryTableFieldId="95" dataDxfId="34"/>
    <tableColumn id="96" xr3:uid="{E23F3025-1F0C-4EB8-ADD0-C42C08A864EA}" uniqueName="96" name="Medida de error DGM (SD;EE;U%)" queryTableFieldId="96" dataDxfId="33"/>
    <tableColumn id="97" xr3:uid="{2BACD9CA-9410-4C3D-905C-4F7B2FC824ED}" uniqueName="97" name="Contenido de Carbono en Hojarasca (tC/ha) " queryTableFieldId="97" dataDxfId="32"/>
    <tableColumn id="98" xr3:uid="{BE5C9D13-849B-4F8A-8D84-04AD0C871FCB}" uniqueName="98" name="Medida de error (SD;EE;U%)23" queryTableFieldId="98" dataDxfId="31"/>
    <tableColumn id="99" xr3:uid="{B660A1C9-F91E-4223-82FB-D34A83435F90}" uniqueName="99" name="Metodología_x000a_Muestreo MOM" queryTableFieldId="99" dataDxfId="30"/>
    <tableColumn id="100" xr3:uid="{982618A9-CE80-4163-B52C-6D1F9DFC7B99}" uniqueName="100" name="Metodología_x000a_Muestreo DFM-DGM" queryTableFieldId="100" dataDxfId="29"/>
    <tableColumn id="101" xr3:uid="{43F76C95-C4F0-4884-B647-F5C0F7874EB3}" uniqueName="101" name="Metodología_x000a_Tamaño" queryTableFieldId="101" dataDxfId="28"/>
    <tableColumn id="102" xr3:uid="{51BC1206-AC53-4502-9725-2CD6C2EE780C}" uniqueName="102" name="Metodología_x000a_AMP y TO" queryTableFieldId="102" dataDxfId="27"/>
    <tableColumn id="103" xr3:uid="{EA74B6CE-60D4-4D5B-BE2C-EEA282242E78}" uniqueName="103" name="Metodología_x000a_Hojasrasca" queryTableFieldId="103" dataDxfId="26"/>
    <tableColumn id="104" xr3:uid="{264CD743-C287-412C-90AD-A70403EEDDC0}" uniqueName="104" name="Uninades resportadas CO2 Flux" queryTableFieldId="104" dataDxfId="25"/>
    <tableColumn id="105" xr3:uid="{7D809E84-A1BB-4A6E-ACA9-CE2C3D6CB70A}" uniqueName="105" name="Valor reportado CO2 flux" queryTableFieldId="105" dataDxfId="24"/>
    <tableColumn id="106" xr3:uid="{9A03C772-8869-4188-9993-AD5D65CD9127}" uniqueName="106" name="CO2 Flux" queryTableFieldId="106" dataDxfId="23"/>
    <tableColumn id="107" xr3:uid="{A97C8F6F-D280-468B-B7B6-57F54DE7D42C}" uniqueName="107" name="Medida de error (SD;EE;U%)2" queryTableFieldId="107" dataDxfId="22"/>
    <tableColumn id="108" xr3:uid="{E1C42897-C52A-43D6-B30D-5EE7DFFF7783}" uniqueName="108" name="Metodologia CO2 Flux" queryTableFieldId="108" dataDxfId="21"/>
    <tableColumn id="109" xr3:uid="{D22BF8EA-9EC8-44F1-AC46-F911E1B0E4D1}" uniqueName="109" name="Uninades resportadas CH4 Flux" queryTableFieldId="109" dataDxfId="20"/>
    <tableColumn id="110" xr3:uid="{1AD5917A-CBC2-4FCD-9DA2-2FD2900AC357}" uniqueName="110" name="Valor reportado CH4 flux" queryTableFieldId="110" dataDxfId="19"/>
    <tableColumn id="111" xr3:uid="{73991E7E-5AC7-4FA3-B657-B7359C904B5A}" uniqueName="111" name="CH4 Flux" queryTableFieldId="111" dataDxfId="18"/>
    <tableColumn id="112" xr3:uid="{305065BD-E2A1-4424-9754-EB1F924102C6}" uniqueName="112" name="Medida de error (SD;EE;U%)25" queryTableFieldId="112" dataDxfId="17"/>
    <tableColumn id="113" xr3:uid="{3D682388-A6D5-46C1-A492-B4F47A52A108}" uniqueName="113" name="Metodologia CH4 Flux" queryTableFieldId="113" dataDxfId="16"/>
    <tableColumn id="114" xr3:uid="{8D70BF84-509B-4D16-9C12-E260CD87ADAC}" uniqueName="114" name="Uninades resportadas N2O Flux" queryTableFieldId="114" dataDxfId="15"/>
    <tableColumn id="115" xr3:uid="{7B5D234E-4308-44E4-A605-5A52DB514943}" uniqueName="115" name="Valor reportado N2O flux" queryTableFieldId="115" dataDxfId="14"/>
    <tableColumn id="116" xr3:uid="{DC7DF94D-FBD2-4026-AD22-579BD7FDF241}" uniqueName="116" name="N2O Flux" queryTableFieldId="116" dataDxfId="13"/>
    <tableColumn id="117" xr3:uid="{6FC5DD49-9C52-42BC-887A-3821107279F5}" uniqueName="117" name="Medida de error (SD;EE;U%)3" queryTableFieldId="117" dataDxfId="12"/>
    <tableColumn id="118" xr3:uid="{120C9B43-B145-42BC-9035-22EB00193B31}" uniqueName="118" name="Metodologia N2O Flux" queryTableFieldId="118"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3386A1-76F9-4B18-93AA-038B636F0129}" name="Tabla2" displayName="Tabla2" ref="A4:G113" totalsRowShown="0" headerRowDxfId="10" dataDxfId="9" headerRowBorderDxfId="7" tableBorderDxfId="8">
  <autoFilter ref="A4:G113" xr:uid="{693386A1-76F9-4B18-93AA-038B636F0129}"/>
  <tableColumns count="7">
    <tableColumn id="1" xr3:uid="{EDCD5233-1B4B-4EE0-861B-84803ADF8997}" name="Campo" dataDxfId="6"/>
    <tableColumn id="7" xr3:uid="{8BC71C79-C5DE-4B03-9D5D-D57159B0B61E}" name="Requisito" dataDxfId="5"/>
    <tableColumn id="8" xr3:uid="{D58FCDA8-6D67-4C98-9034-6F12A130D6BA}" name="Categoria" dataDxfId="4"/>
    <tableColumn id="2" xr3:uid="{E9CD29B0-7934-4762-AB47-A0078F609DED}" name="Variable" dataDxfId="3"/>
    <tableColumn id="3" xr3:uid="{E5FA6F75-26B3-4A7F-B1A7-169AADC8FF53}" name="Descripción" dataDxfId="2"/>
    <tableColumn id="4" xr3:uid="{046D86D0-627B-4D03-9DA2-DC14EF504EF9}" name="Dominios" dataDxfId="1"/>
    <tableColumn id="5" xr3:uid="{4617623E-032D-44E3-B0F1-B16C1583E14A}" name="Tipo de dato"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geoderma.2020.114810" TargetMode="External"/><Relationship Id="rId18" Type="http://schemas.openxmlformats.org/officeDocument/2006/relationships/hyperlink" Target="https://doi.org/10.1016/j.quascirev.2020.106687" TargetMode="External"/><Relationship Id="rId26" Type="http://schemas.openxmlformats.org/officeDocument/2006/relationships/hyperlink" Target="mailto:gavi.alavimurillo@kuleuven.be" TargetMode="External"/><Relationship Id="rId39" Type="http://schemas.openxmlformats.org/officeDocument/2006/relationships/hyperlink" Target="mailto:asterling@sinchi.org.co" TargetMode="External"/><Relationship Id="rId21" Type="http://schemas.openxmlformats.org/officeDocument/2006/relationships/hyperlink" Target="mailto:itrianag@ucentral.edu.co" TargetMode="External"/><Relationship Id="rId34" Type="http://schemas.openxmlformats.org/officeDocument/2006/relationships/hyperlink" Target="https://doi.org/10.1007/s10980-025-02159-0" TargetMode="External"/><Relationship Id="rId42" Type="http://schemas.openxmlformats.org/officeDocument/2006/relationships/hyperlink" Target="https://doi.org/10.1038/s43247-025-02674-7" TargetMode="External"/><Relationship Id="rId47" Type="http://schemas.openxmlformats.org/officeDocument/2006/relationships/comments" Target="../comments1.xml"/><Relationship Id="rId7" Type="http://schemas.openxmlformats.org/officeDocument/2006/relationships/hyperlink" Target="https://doi.org/10.1016/j.scitotenv.2018.11.109" TargetMode="External"/><Relationship Id="rId2" Type="http://schemas.openxmlformats.org/officeDocument/2006/relationships/hyperlink" Target="mailto:abeefrencm8@gmail.com" TargetMode="External"/><Relationship Id="rId16" Type="http://schemas.openxmlformats.org/officeDocument/2006/relationships/hyperlink" Target="mailto:y.pardo@udla.edu.co" TargetMode="External"/><Relationship Id="rId29" Type="http://schemas.openxmlformats.org/officeDocument/2006/relationships/hyperlink" Target="mailto:jubenavides@javeriana.edu.co" TargetMode="External"/><Relationship Id="rId1" Type="http://schemas.openxmlformats.org/officeDocument/2006/relationships/hyperlink" Target="http://dx.doi.org/10.18041/entramado.2017v13n1.25112" TargetMode="External"/><Relationship Id="rId6" Type="http://schemas.openxmlformats.org/officeDocument/2006/relationships/hyperlink" Target="mailto:villa-betancur.1@osu.edu" TargetMode="External"/><Relationship Id="rId11" Type="http://schemas.openxmlformats.org/officeDocument/2006/relationships/hyperlink" Target="mailto:heduardohn@gmail.com" TargetMode="External"/><Relationship Id="rId24" Type="http://schemas.openxmlformats.org/officeDocument/2006/relationships/hyperlink" Target="http://doi.org/10.31910/rudca.v25.n2.2022.1846" TargetMode="External"/><Relationship Id="rId32" Type="http://schemas.openxmlformats.org/officeDocument/2006/relationships/hyperlink" Target="https://doi.org/10.1007/s11027-023-10089-y" TargetMode="External"/><Relationship Id="rId37" Type="http://schemas.openxmlformats.org/officeDocument/2006/relationships/hyperlink" Target="mailto:pnskilli@mtu.edu" TargetMode="External"/><Relationship Id="rId40" Type="http://schemas.openxmlformats.org/officeDocument/2006/relationships/hyperlink" Target="https://doi.org/10.1016/j.geodrs.2025.e00958" TargetMode="External"/><Relationship Id="rId45" Type="http://schemas.openxmlformats.org/officeDocument/2006/relationships/vmlDrawing" Target="../drawings/vmlDrawing1.vml"/><Relationship Id="rId5" Type="http://schemas.openxmlformats.org/officeDocument/2006/relationships/hyperlink" Target="mailto:jjperezr@unal.edu.co" TargetMode="External"/><Relationship Id="rId15" Type="http://schemas.openxmlformats.org/officeDocument/2006/relationships/hyperlink" Target="https://doi.org/10.22267/rcia.213802.160" TargetMode="External"/><Relationship Id="rId23" Type="http://schemas.openxmlformats.org/officeDocument/2006/relationships/hyperlink" Target="mailto:daniela.orozco@unillanos.edu.co" TargetMode="External"/><Relationship Id="rId28" Type="http://schemas.openxmlformats.org/officeDocument/2006/relationships/hyperlink" Target="mailto:diegoabrilherrera@live.com" TargetMode="External"/><Relationship Id="rId36" Type="http://schemas.openxmlformats.org/officeDocument/2006/relationships/hyperlink" Target="https://doi.org/10.1016/j.jenvman.2025.124915" TargetMode="External"/><Relationship Id="rId10" Type="http://schemas.openxmlformats.org/officeDocument/2006/relationships/hyperlink" Target="mailto:maribeb.castro@unimilitar.edu.co" TargetMode="External"/><Relationship Id="rId19" Type="http://schemas.openxmlformats.org/officeDocument/2006/relationships/hyperlink" Target="mailto:ajben&#64257;eld@psu.edu" TargetMode="External"/><Relationship Id="rId31" Type="http://schemas.openxmlformats.org/officeDocument/2006/relationships/hyperlink" Target="mailto:k.hergoualch@cifor-icraf.org" TargetMode="External"/><Relationship Id="rId44" Type="http://schemas.openxmlformats.org/officeDocument/2006/relationships/printerSettings" Target="../printerSettings/printerSettings1.bin"/><Relationship Id="rId4" Type="http://schemas.openxmlformats.org/officeDocument/2006/relationships/hyperlink" Target="https://doi.org/10.1016/j.catena.2019.04.006" TargetMode="External"/><Relationship Id="rId9" Type="http://schemas.openxmlformats.org/officeDocument/2006/relationships/hyperlink" Target="mailto:carlos.fp91@gmail.com" TargetMode="External"/><Relationship Id="rId14" Type="http://schemas.openxmlformats.org/officeDocument/2006/relationships/hyperlink" Target="mailto:ju.suarez@udla.edu.co" TargetMode="External"/><Relationship Id="rId22" Type="http://schemas.openxmlformats.org/officeDocument/2006/relationships/hyperlink" Target="https://doi.org/10.22490/21456453.5531" TargetMode="External"/><Relationship Id="rId27" Type="http://schemas.openxmlformats.org/officeDocument/2006/relationships/hyperlink" Target="https://doi.org/10.1007/s10113-022-01980-6" TargetMode="External"/><Relationship Id="rId30" Type="http://schemas.openxmlformats.org/officeDocument/2006/relationships/hyperlink" Target="https://doi.org/10.1007/s10533-023-01057-4" TargetMode="External"/><Relationship Id="rId35" Type="http://schemas.openxmlformats.org/officeDocument/2006/relationships/hyperlink" Target="mailto:jubenavides@javeriana.edu.co" TargetMode="External"/><Relationship Id="rId43" Type="http://schemas.openxmlformats.org/officeDocument/2006/relationships/hyperlink" Target="mailto:yw637@exeter.ac.uk" TargetMode="External"/><Relationship Id="rId8" Type="http://schemas.openxmlformats.org/officeDocument/2006/relationships/hyperlink" Target="https://doi.org/10.15446/rcdg.v28n1.66152" TargetMode="External"/><Relationship Id="rId3" Type="http://schemas.openxmlformats.org/officeDocument/2006/relationships/hyperlink" Target="mailto:asilvap@unillanos.edu.co" TargetMode="External"/><Relationship Id="rId12" Type="http://schemas.openxmlformats.org/officeDocument/2006/relationships/hyperlink" Target="mailto:nordonez@igac.gov.co" TargetMode="External"/><Relationship Id="rId17" Type="http://schemas.openxmlformats.org/officeDocument/2006/relationships/hyperlink" Target="mailto:rjimenezp@unal.edu.co" TargetMode="External"/><Relationship Id="rId25" Type="http://schemas.openxmlformats.org/officeDocument/2006/relationships/hyperlink" Target="mailto:ingrid.walteros@uptc.edu.co" TargetMode="External"/><Relationship Id="rId33" Type="http://schemas.openxmlformats.org/officeDocument/2006/relationships/hyperlink" Target="mailto:jhribljan@unomaha.edu" TargetMode="External"/><Relationship Id="rId38" Type="http://schemas.openxmlformats.org/officeDocument/2006/relationships/hyperlink" Target="https://doi.org/10.3390/land14101980" TargetMode="External"/><Relationship Id="rId46" Type="http://schemas.openxmlformats.org/officeDocument/2006/relationships/table" Target="../tables/table1.xml"/><Relationship Id="rId20" Type="http://schemas.openxmlformats.org/officeDocument/2006/relationships/hyperlink" Target="https://doi.org/10.15446/acag.v71n3.96989" TargetMode="External"/><Relationship Id="rId41" Type="http://schemas.openxmlformats.org/officeDocument/2006/relationships/hyperlink" Target="mailto:eroviedo@uis.edu.co"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oi.org/10.3390/plants12040955" TargetMode="External"/><Relationship Id="rId1" Type="http://schemas.openxmlformats.org/officeDocument/2006/relationships/hyperlink" Target="https://doi.org/10.3390/plants12040955"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E7B4-6DFE-426A-99C8-EFB2A4266C17}">
  <dimension ref="A1:DF54"/>
  <sheetViews>
    <sheetView topLeftCell="Y1" workbookViewId="0"/>
  </sheetViews>
  <sheetFormatPr defaultColWidth="19.140625" defaultRowHeight="15"/>
  <cols>
    <col min="1" max="2" width="19.140625" style="2"/>
    <col min="3" max="3" width="36.5703125" style="2" bestFit="1" customWidth="1"/>
    <col min="4" max="12" width="19.140625" style="2"/>
    <col min="13" max="13" width="28.85546875" style="2" bestFit="1" customWidth="1"/>
    <col min="14" max="15" width="19.140625" style="2"/>
    <col min="16" max="16" width="36.5703125" style="2" bestFit="1" customWidth="1"/>
    <col min="17" max="17" width="19.140625" style="2"/>
    <col min="18" max="18" width="20.28515625" style="2" bestFit="1" customWidth="1"/>
    <col min="19" max="19" width="22.85546875" style="2" bestFit="1" customWidth="1"/>
    <col min="20" max="22" width="19.140625" style="2"/>
    <col min="23" max="23" width="36.5703125" style="2" bestFit="1" customWidth="1"/>
    <col min="24" max="27" width="19.140625" style="2"/>
    <col min="28" max="28" width="33.42578125" style="2" bestFit="1" customWidth="1"/>
    <col min="29" max="29" width="34.85546875" style="2" bestFit="1" customWidth="1"/>
    <col min="30" max="33" width="36.5703125" style="2" bestFit="1" customWidth="1"/>
    <col min="34" max="34" width="20" style="2" bestFit="1" customWidth="1"/>
    <col min="35" max="35" width="21.28515625" style="2" bestFit="1" customWidth="1"/>
    <col min="36" max="36" width="26.85546875" style="2" bestFit="1" customWidth="1"/>
    <col min="37" max="37" width="19.140625" style="2"/>
    <col min="38" max="38" width="36" style="2" bestFit="1" customWidth="1"/>
    <col min="39" max="39" width="32.140625" style="2" bestFit="1" customWidth="1"/>
    <col min="40" max="40" width="19.140625" style="2"/>
    <col min="41" max="41" width="28.7109375" style="2" bestFit="1" customWidth="1"/>
    <col min="42" max="42" width="29.5703125" style="2" bestFit="1" customWidth="1"/>
    <col min="43" max="46" width="19.140625" style="2"/>
    <col min="47" max="49" width="36.5703125" style="2" bestFit="1" customWidth="1"/>
    <col min="50" max="50" width="22.7109375" style="2" customWidth="1"/>
    <col min="51" max="51" width="36.5703125" style="2" bestFit="1" customWidth="1"/>
    <col min="52" max="55" width="19.140625" style="2"/>
    <col min="56" max="56" width="36.5703125" style="2" bestFit="1" customWidth="1"/>
    <col min="57" max="57" width="26.28515625" style="2" bestFit="1" customWidth="1"/>
    <col min="58" max="58" width="28.140625" style="2" bestFit="1" customWidth="1"/>
    <col min="59" max="61" width="36.5703125" style="2" bestFit="1" customWidth="1"/>
    <col min="62" max="65" width="19.140625" style="2"/>
    <col min="66" max="66" width="30.85546875" style="2" bestFit="1" customWidth="1"/>
    <col min="67" max="67" width="36.5703125" style="2" bestFit="1" customWidth="1"/>
    <col min="68" max="68" width="20" style="2" bestFit="1" customWidth="1"/>
    <col min="69" max="69" width="19.140625" style="2"/>
    <col min="70" max="70" width="32.28515625" style="2" customWidth="1"/>
    <col min="71" max="71" width="36.5703125" style="2" bestFit="1" customWidth="1"/>
    <col min="72" max="72" width="16.28515625" style="2" customWidth="1"/>
    <col min="73" max="73" width="29" style="2" customWidth="1"/>
    <col min="74" max="75" width="19.140625" style="2"/>
    <col min="76" max="76" width="25.28515625" style="2" bestFit="1" customWidth="1"/>
    <col min="77" max="77" width="19.140625" style="2"/>
    <col min="78" max="78" width="17.28515625" style="2" customWidth="1"/>
    <col min="79" max="94" width="19.140625" style="2"/>
    <col min="95" max="95" width="22.140625" style="2" bestFit="1" customWidth="1"/>
    <col min="96" max="97" width="19.140625" style="2"/>
    <col min="98" max="100" width="36.5703125" style="2" bestFit="1" customWidth="1"/>
    <col min="101" max="103" width="19.140625" style="2"/>
    <col min="104" max="105" width="36.5703125" style="2" bestFit="1" customWidth="1"/>
    <col min="106" max="106" width="19.140625" style="2"/>
    <col min="107" max="107" width="36.5703125" style="2" bestFit="1" customWidth="1"/>
    <col min="108" max="16384" width="19.140625" style="2"/>
  </cols>
  <sheetData>
    <row r="1" spans="1:110" ht="63" customHeight="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c r="W1" s="30" t="s">
        <v>22</v>
      </c>
      <c r="X1" s="30" t="s">
        <v>23</v>
      </c>
      <c r="Y1" s="30" t="s">
        <v>24</v>
      </c>
      <c r="Z1" s="31" t="s">
        <v>25</v>
      </c>
      <c r="AA1" s="31" t="s">
        <v>26</v>
      </c>
      <c r="AB1" s="31" t="s">
        <v>27</v>
      </c>
      <c r="AC1" s="31" t="s">
        <v>28</v>
      </c>
      <c r="AD1" s="31" t="s">
        <v>29</v>
      </c>
      <c r="AE1" s="31" t="s">
        <v>30</v>
      </c>
      <c r="AF1" s="31" t="s">
        <v>31</v>
      </c>
      <c r="AG1" s="31" t="s">
        <v>32</v>
      </c>
      <c r="AH1" s="31" t="s">
        <v>33</v>
      </c>
      <c r="AI1" s="32" t="s">
        <v>34</v>
      </c>
      <c r="AJ1" s="32" t="s">
        <v>35</v>
      </c>
      <c r="AK1" s="32" t="s">
        <v>36</v>
      </c>
      <c r="AL1" s="32" t="s">
        <v>37</v>
      </c>
      <c r="AM1" s="32" t="s">
        <v>38</v>
      </c>
      <c r="AN1" s="32" t="s">
        <v>39</v>
      </c>
      <c r="AO1" s="33" t="s">
        <v>40</v>
      </c>
      <c r="AP1" s="33" t="s">
        <v>41</v>
      </c>
      <c r="AQ1" s="33" t="s">
        <v>42</v>
      </c>
      <c r="AR1" s="33" t="s">
        <v>43</v>
      </c>
      <c r="AS1" s="33" t="s">
        <v>44</v>
      </c>
      <c r="AT1" s="34" t="s">
        <v>45</v>
      </c>
      <c r="AU1" s="34" t="s">
        <v>46</v>
      </c>
      <c r="AV1" s="34" t="s">
        <v>47</v>
      </c>
      <c r="AW1" s="34" t="s">
        <v>48</v>
      </c>
      <c r="AX1" s="34" t="s">
        <v>49</v>
      </c>
      <c r="AY1" s="34" t="s">
        <v>50</v>
      </c>
      <c r="AZ1" s="34" t="s">
        <v>51</v>
      </c>
      <c r="BA1" s="34" t="s">
        <v>52</v>
      </c>
      <c r="BB1" s="34" t="s">
        <v>53</v>
      </c>
      <c r="BC1" s="34" t="s">
        <v>54</v>
      </c>
      <c r="BD1" s="34" t="s">
        <v>55</v>
      </c>
      <c r="BE1" s="34" t="s">
        <v>56</v>
      </c>
      <c r="BF1" s="34" t="s">
        <v>57</v>
      </c>
      <c r="BG1" s="34" t="s">
        <v>58</v>
      </c>
      <c r="BH1" s="34" t="s">
        <v>59</v>
      </c>
      <c r="BI1" s="34" t="s">
        <v>60</v>
      </c>
      <c r="BJ1" s="34" t="s">
        <v>61</v>
      </c>
      <c r="BK1" s="34" t="s">
        <v>62</v>
      </c>
      <c r="BL1" s="34" t="s">
        <v>63</v>
      </c>
      <c r="BM1" s="34" t="s">
        <v>64</v>
      </c>
      <c r="BN1" s="34" t="s">
        <v>65</v>
      </c>
      <c r="BO1" s="72" t="s">
        <v>66</v>
      </c>
      <c r="BP1" s="34" t="s">
        <v>67</v>
      </c>
      <c r="BQ1" s="35" t="s">
        <v>68</v>
      </c>
      <c r="BR1" s="47" t="s">
        <v>69</v>
      </c>
      <c r="BS1" s="35" t="s">
        <v>70</v>
      </c>
      <c r="BT1" s="35" t="s">
        <v>71</v>
      </c>
      <c r="BU1" s="47" t="s">
        <v>72</v>
      </c>
      <c r="BV1" s="35" t="s">
        <v>73</v>
      </c>
      <c r="BW1" s="35" t="s">
        <v>74</v>
      </c>
      <c r="BX1" s="35" t="s">
        <v>75</v>
      </c>
      <c r="BY1" s="35" t="s">
        <v>76</v>
      </c>
      <c r="BZ1" s="35" t="s">
        <v>77</v>
      </c>
      <c r="CA1" s="36" t="s">
        <v>78</v>
      </c>
      <c r="CB1" s="36" t="s">
        <v>79</v>
      </c>
      <c r="CC1" s="36" t="s">
        <v>80</v>
      </c>
      <c r="CD1" s="36" t="s">
        <v>81</v>
      </c>
      <c r="CE1" s="36" t="s">
        <v>82</v>
      </c>
      <c r="CF1" s="36" t="s">
        <v>83</v>
      </c>
      <c r="CG1" s="36" t="s">
        <v>84</v>
      </c>
      <c r="CH1" s="36" t="s">
        <v>85</v>
      </c>
      <c r="CI1" s="36" t="s">
        <v>86</v>
      </c>
      <c r="CJ1" s="36" t="s">
        <v>87</v>
      </c>
      <c r="CK1" s="36" t="s">
        <v>88</v>
      </c>
      <c r="CL1" s="36" t="s">
        <v>89</v>
      </c>
      <c r="CM1" s="36" t="s">
        <v>90</v>
      </c>
      <c r="CN1" s="36" t="s">
        <v>91</v>
      </c>
      <c r="CO1" s="36" t="s">
        <v>92</v>
      </c>
      <c r="CP1" s="36" t="s">
        <v>93</v>
      </c>
      <c r="CQ1" s="36" t="s">
        <v>94</v>
      </c>
      <c r="CR1" s="37" t="s">
        <v>95</v>
      </c>
      <c r="CS1" s="37" t="s">
        <v>96</v>
      </c>
      <c r="CT1" s="37" t="s">
        <v>97</v>
      </c>
      <c r="CU1" s="37" t="s">
        <v>98</v>
      </c>
      <c r="CV1" s="37" t="s">
        <v>99</v>
      </c>
      <c r="CW1" s="37" t="s">
        <v>100</v>
      </c>
      <c r="CX1" s="37" t="s">
        <v>101</v>
      </c>
      <c r="CY1" s="37" t="s">
        <v>102</v>
      </c>
      <c r="CZ1" s="37" t="s">
        <v>103</v>
      </c>
      <c r="DA1" s="37" t="s">
        <v>104</v>
      </c>
      <c r="DB1" s="37" t="s">
        <v>105</v>
      </c>
      <c r="DC1" s="37" t="s">
        <v>106</v>
      </c>
      <c r="DD1" s="37" t="s">
        <v>107</v>
      </c>
      <c r="DE1" s="37" t="s">
        <v>108</v>
      </c>
      <c r="DF1" s="37" t="s">
        <v>109</v>
      </c>
    </row>
    <row r="2" spans="1:110" s="42" customFormat="1" ht="30.75">
      <c r="A2" s="42">
        <v>7</v>
      </c>
      <c r="B2" s="42" t="s">
        <v>110</v>
      </c>
      <c r="D2" s="42" t="s">
        <v>111</v>
      </c>
      <c r="E2" s="42" t="s">
        <v>112</v>
      </c>
      <c r="F2" s="42" t="s">
        <v>113</v>
      </c>
      <c r="G2" s="42" t="s">
        <v>114</v>
      </c>
      <c r="H2" s="42">
        <v>110</v>
      </c>
      <c r="I2" s="42" t="s">
        <v>110</v>
      </c>
      <c r="K2" s="42" t="s">
        <v>115</v>
      </c>
      <c r="L2" s="42">
        <v>2009</v>
      </c>
      <c r="M2" s="42" t="s">
        <v>116</v>
      </c>
      <c r="N2" s="42" t="s">
        <v>110</v>
      </c>
      <c r="O2" s="42" t="s">
        <v>110</v>
      </c>
      <c r="P2" s="42" t="s">
        <v>110</v>
      </c>
      <c r="Q2" s="42" t="s">
        <v>110</v>
      </c>
      <c r="R2" s="42" t="s">
        <v>110</v>
      </c>
      <c r="S2" s="42" t="s">
        <v>110</v>
      </c>
      <c r="T2" s="42" t="s">
        <v>110</v>
      </c>
      <c r="U2" s="42" t="s">
        <v>110</v>
      </c>
      <c r="V2" s="42" t="s">
        <v>117</v>
      </c>
      <c r="W2" s="42" t="s">
        <v>118</v>
      </c>
      <c r="X2" s="42" t="s">
        <v>119</v>
      </c>
      <c r="Y2" s="42" t="s">
        <v>120</v>
      </c>
      <c r="Z2" s="42" t="s">
        <v>121</v>
      </c>
      <c r="AA2" s="42" t="s">
        <v>122</v>
      </c>
      <c r="AB2" s="42" t="s">
        <v>123</v>
      </c>
      <c r="AC2" s="42" t="s">
        <v>124</v>
      </c>
      <c r="AE2" s="42" t="s">
        <v>125</v>
      </c>
      <c r="AF2" s="42" t="s">
        <v>126</v>
      </c>
      <c r="AG2" s="42" t="s">
        <v>127</v>
      </c>
      <c r="AH2" s="42">
        <v>4080</v>
      </c>
      <c r="AI2" s="42" t="s">
        <v>128</v>
      </c>
      <c r="AJ2" s="42" t="s">
        <v>129</v>
      </c>
      <c r="AK2" s="42" t="s">
        <v>130</v>
      </c>
      <c r="AL2" s="65" t="s">
        <v>131</v>
      </c>
      <c r="AM2" s="42" t="s">
        <v>132</v>
      </c>
      <c r="AN2" s="42" t="s">
        <v>120</v>
      </c>
      <c r="AO2" s="42" t="s">
        <v>133</v>
      </c>
      <c r="AP2" s="42" t="s">
        <v>134</v>
      </c>
      <c r="AQ2" s="42" t="s">
        <v>120</v>
      </c>
      <c r="AR2" s="42" t="s">
        <v>120</v>
      </c>
      <c r="AS2" s="42" t="s">
        <v>120</v>
      </c>
      <c r="AT2" s="42" t="s">
        <v>135</v>
      </c>
      <c r="AU2" s="42" t="s">
        <v>136</v>
      </c>
      <c r="AV2" s="42" t="s">
        <v>137</v>
      </c>
      <c r="AW2" s="42" t="s">
        <v>138</v>
      </c>
      <c r="AX2" s="42">
        <v>18</v>
      </c>
      <c r="AY2" s="42" t="s">
        <v>139</v>
      </c>
      <c r="AZ2" s="42" t="s">
        <v>120</v>
      </c>
      <c r="BA2" s="42" t="s">
        <v>120</v>
      </c>
      <c r="BB2" s="42">
        <v>0.5</v>
      </c>
      <c r="BC2" s="42" t="s">
        <v>140</v>
      </c>
      <c r="BD2" s="42" t="s">
        <v>141</v>
      </c>
      <c r="BE2" s="42" t="s">
        <v>142</v>
      </c>
      <c r="BF2" s="42" t="s">
        <v>120</v>
      </c>
      <c r="BG2" s="42" t="s">
        <v>120</v>
      </c>
      <c r="BH2" s="44" t="s">
        <v>143</v>
      </c>
      <c r="BI2" s="42" t="s">
        <v>120</v>
      </c>
      <c r="BJ2" s="42" t="s">
        <v>140</v>
      </c>
      <c r="BK2" s="42">
        <v>1.4999999999999999E-2</v>
      </c>
      <c r="BL2" s="42" t="s">
        <v>120</v>
      </c>
      <c r="BM2" s="42" t="s">
        <v>120</v>
      </c>
      <c r="BN2" s="42" t="s">
        <v>120</v>
      </c>
      <c r="BO2" s="42" t="s">
        <v>120</v>
      </c>
      <c r="BP2" s="42" t="s">
        <v>120</v>
      </c>
      <c r="BQ2" s="42" t="s">
        <v>120</v>
      </c>
      <c r="BR2" s="42" t="s">
        <v>120</v>
      </c>
      <c r="BS2" s="42" t="s">
        <v>120</v>
      </c>
      <c r="BT2" s="42" t="s">
        <v>120</v>
      </c>
      <c r="BU2" s="42" t="s">
        <v>120</v>
      </c>
      <c r="BV2" s="42" t="s">
        <v>120</v>
      </c>
      <c r="BW2" s="42" t="s">
        <v>120</v>
      </c>
      <c r="BX2" s="42" t="s">
        <v>120</v>
      </c>
      <c r="BY2" s="42" t="s">
        <v>120</v>
      </c>
      <c r="BZ2" s="42" t="s">
        <v>120</v>
      </c>
      <c r="CA2" s="42" t="s">
        <v>120</v>
      </c>
      <c r="CB2" s="42" t="s">
        <v>120</v>
      </c>
      <c r="CC2" s="42" t="s">
        <v>120</v>
      </c>
      <c r="CD2" s="42" t="s">
        <v>120</v>
      </c>
      <c r="CE2" s="42" t="s">
        <v>120</v>
      </c>
      <c r="CF2" s="42" t="s">
        <v>120</v>
      </c>
      <c r="CG2" s="42" t="s">
        <v>120</v>
      </c>
      <c r="CH2" s="42" t="s">
        <v>120</v>
      </c>
      <c r="CI2" s="42" t="s">
        <v>120</v>
      </c>
      <c r="CJ2" s="42" t="s">
        <v>120</v>
      </c>
      <c r="CK2" s="42" t="s">
        <v>120</v>
      </c>
      <c r="CL2" s="42" t="s">
        <v>120</v>
      </c>
      <c r="CM2" s="42" t="s">
        <v>120</v>
      </c>
      <c r="CN2" s="42" t="s">
        <v>120</v>
      </c>
      <c r="CO2" s="42" t="s">
        <v>120</v>
      </c>
      <c r="CP2" s="42" t="s">
        <v>120</v>
      </c>
      <c r="CQ2" s="42" t="s">
        <v>120</v>
      </c>
      <c r="CR2" s="42" t="s">
        <v>120</v>
      </c>
      <c r="CS2" s="42" t="s">
        <v>120</v>
      </c>
      <c r="CT2" s="42" t="s">
        <v>120</v>
      </c>
      <c r="CU2" s="42" t="s">
        <v>120</v>
      </c>
      <c r="CV2" s="42" t="s">
        <v>120</v>
      </c>
      <c r="CW2" s="42" t="s">
        <v>120</v>
      </c>
      <c r="CX2" s="42" t="s">
        <v>120</v>
      </c>
      <c r="CY2" s="42" t="s">
        <v>120</v>
      </c>
      <c r="CZ2" s="42" t="s">
        <v>120</v>
      </c>
      <c r="DA2" s="42" t="s">
        <v>120</v>
      </c>
      <c r="DB2" s="42" t="s">
        <v>120</v>
      </c>
      <c r="DC2" s="42" t="s">
        <v>120</v>
      </c>
      <c r="DD2" s="42" t="s">
        <v>120</v>
      </c>
      <c r="DE2" s="42" t="s">
        <v>120</v>
      </c>
      <c r="DF2" s="42" t="s">
        <v>120</v>
      </c>
    </row>
    <row r="3" spans="1:110" s="42" customFormat="1" ht="30.75">
      <c r="A3" s="42">
        <v>7</v>
      </c>
      <c r="C3" s="42" t="s">
        <v>144</v>
      </c>
      <c r="D3" s="42" t="s">
        <v>145</v>
      </c>
      <c r="E3" s="42" t="s">
        <v>146</v>
      </c>
      <c r="F3" s="42" t="s">
        <v>147</v>
      </c>
      <c r="G3" s="42" t="s">
        <v>148</v>
      </c>
      <c r="H3" s="42">
        <v>206</v>
      </c>
      <c r="I3" s="42" t="s">
        <v>110</v>
      </c>
      <c r="J3" s="42">
        <v>2</v>
      </c>
      <c r="K3" s="42" t="s">
        <v>149</v>
      </c>
      <c r="L3" s="42">
        <v>2010</v>
      </c>
      <c r="M3" s="66" t="s">
        <v>150</v>
      </c>
      <c r="N3" s="42" t="s">
        <v>110</v>
      </c>
      <c r="O3" s="42" t="s">
        <v>110</v>
      </c>
      <c r="P3" s="42" t="s">
        <v>110</v>
      </c>
      <c r="Q3" s="42" t="s">
        <v>110</v>
      </c>
      <c r="R3" s="42" t="s">
        <v>110</v>
      </c>
      <c r="S3" s="42" t="s">
        <v>151</v>
      </c>
      <c r="T3" s="42" t="s">
        <v>110</v>
      </c>
      <c r="U3" s="42" t="s">
        <v>110</v>
      </c>
      <c r="V3" s="42" t="s">
        <v>152</v>
      </c>
      <c r="W3" s="42" t="s">
        <v>153</v>
      </c>
      <c r="X3" s="42" t="s">
        <v>119</v>
      </c>
      <c r="Y3" s="42" t="s">
        <v>120</v>
      </c>
      <c r="Z3" s="42" t="s">
        <v>154</v>
      </c>
      <c r="AC3" s="42" t="s">
        <v>155</v>
      </c>
      <c r="AD3" s="42" t="s">
        <v>155</v>
      </c>
      <c r="AE3" s="67" t="s">
        <v>156</v>
      </c>
      <c r="AF3" s="42" t="s">
        <v>120</v>
      </c>
      <c r="AG3" s="42" t="s">
        <v>120</v>
      </c>
      <c r="AH3" s="42" t="s">
        <v>120</v>
      </c>
      <c r="AI3" s="42" t="s">
        <v>157</v>
      </c>
      <c r="AJ3" s="42" t="s">
        <v>129</v>
      </c>
      <c r="AK3" s="42" t="s">
        <v>158</v>
      </c>
      <c r="AL3" s="42" t="s">
        <v>159</v>
      </c>
      <c r="AM3" s="42" t="s">
        <v>157</v>
      </c>
      <c r="AN3" s="42" t="s">
        <v>120</v>
      </c>
      <c r="AT3" s="42" t="s">
        <v>135</v>
      </c>
      <c r="AU3" s="42" t="s">
        <v>160</v>
      </c>
      <c r="AV3" s="42" t="s">
        <v>161</v>
      </c>
      <c r="AW3" s="42" t="s">
        <v>138</v>
      </c>
      <c r="AX3" s="42" t="s">
        <v>162</v>
      </c>
      <c r="AY3" s="42" t="s">
        <v>139</v>
      </c>
      <c r="AZ3" s="42" t="s">
        <v>120</v>
      </c>
      <c r="BA3" s="42" t="s">
        <v>120</v>
      </c>
      <c r="BB3" s="45">
        <v>0.43</v>
      </c>
      <c r="BC3" s="45" t="s">
        <v>163</v>
      </c>
      <c r="BD3" s="42" t="s">
        <v>164</v>
      </c>
      <c r="BE3" s="42" t="s">
        <v>120</v>
      </c>
      <c r="BF3" s="42" t="s">
        <v>120</v>
      </c>
      <c r="BG3" s="42" t="s">
        <v>120</v>
      </c>
      <c r="BH3" s="42" t="s">
        <v>165</v>
      </c>
      <c r="BI3" s="42" t="s">
        <v>120</v>
      </c>
      <c r="BJ3" s="42" t="s">
        <v>166</v>
      </c>
      <c r="BK3" s="42" t="s">
        <v>167</v>
      </c>
      <c r="BL3" s="42" t="s">
        <v>120</v>
      </c>
      <c r="BM3" s="42" t="s">
        <v>120</v>
      </c>
      <c r="BN3" s="42" t="s">
        <v>120</v>
      </c>
      <c r="BO3" s="42" t="s">
        <v>120</v>
      </c>
      <c r="BP3" s="42" t="s">
        <v>120</v>
      </c>
      <c r="BS3" s="42" t="s">
        <v>168</v>
      </c>
      <c r="BU3" s="44" t="s">
        <v>169</v>
      </c>
      <c r="BX3" s="42" t="s">
        <v>170</v>
      </c>
      <c r="BY3" s="42" t="s">
        <v>171</v>
      </c>
      <c r="BZ3" s="42" t="s">
        <v>172</v>
      </c>
      <c r="CQ3" s="42" t="s">
        <v>173</v>
      </c>
    </row>
    <row r="4" spans="1:110" s="42" customFormat="1" ht="30.75">
      <c r="A4" s="42">
        <v>5</v>
      </c>
      <c r="B4" s="42" t="s">
        <v>110</v>
      </c>
      <c r="D4" s="42" t="s">
        <v>174</v>
      </c>
      <c r="E4" s="42" t="s">
        <v>175</v>
      </c>
      <c r="F4" s="42" t="s">
        <v>176</v>
      </c>
      <c r="G4" s="42" t="s">
        <v>110</v>
      </c>
      <c r="I4" s="42" t="s">
        <v>110</v>
      </c>
      <c r="K4" s="42" t="s">
        <v>110</v>
      </c>
      <c r="L4" s="42">
        <v>2011</v>
      </c>
      <c r="M4" s="42" t="s">
        <v>110</v>
      </c>
      <c r="N4" s="42" t="s">
        <v>110</v>
      </c>
      <c r="O4" s="42" t="s">
        <v>110</v>
      </c>
      <c r="P4" s="42" t="s">
        <v>177</v>
      </c>
      <c r="Q4" s="42" t="s">
        <v>110</v>
      </c>
      <c r="R4" s="42" t="s">
        <v>178</v>
      </c>
      <c r="S4" s="42" t="s">
        <v>179</v>
      </c>
      <c r="T4" s="42" t="s">
        <v>110</v>
      </c>
      <c r="U4" s="42" t="s">
        <v>110</v>
      </c>
      <c r="V4" s="42" t="s">
        <v>110</v>
      </c>
      <c r="W4" s="42" t="s">
        <v>110</v>
      </c>
      <c r="X4" s="42" t="s">
        <v>119</v>
      </c>
      <c r="Y4" s="42" t="s">
        <v>120</v>
      </c>
      <c r="Z4" s="42" t="s">
        <v>180</v>
      </c>
      <c r="AE4" s="44" t="s">
        <v>181</v>
      </c>
      <c r="AF4" s="42" t="s">
        <v>120</v>
      </c>
      <c r="AG4" s="42" t="s">
        <v>120</v>
      </c>
      <c r="AI4" s="42" t="s">
        <v>182</v>
      </c>
      <c r="AJ4" s="42" t="s">
        <v>183</v>
      </c>
      <c r="AK4" s="42" t="s">
        <v>184</v>
      </c>
      <c r="AL4" s="42" t="s">
        <v>185</v>
      </c>
      <c r="AM4" s="42" t="s">
        <v>186</v>
      </c>
      <c r="AO4" s="42" t="s">
        <v>187</v>
      </c>
      <c r="AP4" s="42" t="s">
        <v>188</v>
      </c>
      <c r="AQ4" s="42">
        <v>1970</v>
      </c>
      <c r="AT4" s="42" t="s">
        <v>135</v>
      </c>
      <c r="AU4" s="42" t="s">
        <v>189</v>
      </c>
      <c r="AV4" s="42" t="s">
        <v>190</v>
      </c>
      <c r="AW4" s="42" t="s">
        <v>138</v>
      </c>
      <c r="AX4" s="42" t="s">
        <v>120</v>
      </c>
      <c r="AY4" s="42" t="s">
        <v>191</v>
      </c>
      <c r="AZ4" s="42" t="s">
        <v>120</v>
      </c>
      <c r="BA4" s="42" t="s">
        <v>120</v>
      </c>
    </row>
    <row r="5" spans="1:110" s="42" customFormat="1" ht="30.75">
      <c r="A5" s="42">
        <v>7</v>
      </c>
      <c r="B5" s="42" t="s">
        <v>110</v>
      </c>
      <c r="D5" s="42" t="s">
        <v>192</v>
      </c>
      <c r="E5" s="42" t="s">
        <v>193</v>
      </c>
      <c r="F5" s="42" t="s">
        <v>194</v>
      </c>
      <c r="G5" s="42" t="s">
        <v>195</v>
      </c>
      <c r="H5" s="42">
        <v>16</v>
      </c>
      <c r="I5" s="42" t="s">
        <v>110</v>
      </c>
      <c r="K5" s="42" t="s">
        <v>196</v>
      </c>
      <c r="L5" s="42">
        <v>2012</v>
      </c>
      <c r="M5" s="66" t="s">
        <v>197</v>
      </c>
      <c r="N5" s="42" t="s">
        <v>110</v>
      </c>
      <c r="O5" s="42" t="s">
        <v>110</v>
      </c>
      <c r="P5" s="42" t="s">
        <v>110</v>
      </c>
      <c r="Q5" s="42" t="s">
        <v>110</v>
      </c>
      <c r="R5" s="42" t="s">
        <v>110</v>
      </c>
      <c r="S5" s="42" t="s">
        <v>110</v>
      </c>
      <c r="T5" s="42" t="s">
        <v>110</v>
      </c>
      <c r="U5" s="42" t="s">
        <v>110</v>
      </c>
      <c r="V5" s="42" t="s">
        <v>198</v>
      </c>
      <c r="W5" s="42" t="s">
        <v>110</v>
      </c>
      <c r="X5" s="42" t="s">
        <v>119</v>
      </c>
      <c r="Y5" s="42" t="s">
        <v>120</v>
      </c>
      <c r="Z5" s="42" t="s">
        <v>121</v>
      </c>
      <c r="AA5" s="42" t="s">
        <v>199</v>
      </c>
      <c r="AC5" s="42" t="s">
        <v>200</v>
      </c>
      <c r="AD5" s="42" t="s">
        <v>120</v>
      </c>
      <c r="AE5" s="42" t="s">
        <v>125</v>
      </c>
      <c r="AF5" s="44" t="s">
        <v>201</v>
      </c>
      <c r="AG5" s="42" t="s">
        <v>202</v>
      </c>
      <c r="AH5" s="67" t="s">
        <v>203</v>
      </c>
      <c r="AI5" s="42" t="s">
        <v>128</v>
      </c>
      <c r="AJ5" s="42" t="s">
        <v>129</v>
      </c>
      <c r="AL5" s="42" t="s">
        <v>131</v>
      </c>
      <c r="AM5" s="42" t="s">
        <v>132</v>
      </c>
      <c r="AO5" s="42" t="s">
        <v>133</v>
      </c>
      <c r="AP5" s="42" t="s">
        <v>134</v>
      </c>
      <c r="AT5" s="42" t="s">
        <v>135</v>
      </c>
      <c r="AU5" s="42" t="s">
        <v>204</v>
      </c>
      <c r="AV5" s="42" t="s">
        <v>205</v>
      </c>
      <c r="AW5" s="42" t="s">
        <v>206</v>
      </c>
      <c r="AX5" s="42">
        <v>9</v>
      </c>
      <c r="AY5" s="42" t="s">
        <v>139</v>
      </c>
      <c r="AZ5" s="42" t="s">
        <v>120</v>
      </c>
      <c r="BA5" s="42" t="s">
        <v>120</v>
      </c>
      <c r="BB5" s="42">
        <v>0.5</v>
      </c>
      <c r="BC5" s="42" t="s">
        <v>140</v>
      </c>
      <c r="BD5" s="42" t="s">
        <v>207</v>
      </c>
      <c r="BE5" s="42" t="s">
        <v>120</v>
      </c>
      <c r="BF5" s="42" t="s">
        <v>208</v>
      </c>
      <c r="BG5" s="42" t="s">
        <v>120</v>
      </c>
      <c r="BH5" s="42" t="s">
        <v>209</v>
      </c>
      <c r="BI5" s="42" t="s">
        <v>210</v>
      </c>
      <c r="BK5" s="42" t="s">
        <v>120</v>
      </c>
      <c r="BL5" s="42" t="s">
        <v>120</v>
      </c>
      <c r="BM5" s="42" t="s">
        <v>120</v>
      </c>
      <c r="BN5" s="42" t="s">
        <v>120</v>
      </c>
      <c r="BO5" s="42" t="s">
        <v>120</v>
      </c>
      <c r="BP5" s="42" t="s">
        <v>120</v>
      </c>
      <c r="BQ5" s="42" t="s">
        <v>120</v>
      </c>
      <c r="BR5" s="42" t="s">
        <v>120</v>
      </c>
      <c r="BS5" s="42" t="s">
        <v>120</v>
      </c>
      <c r="BT5" s="42" t="s">
        <v>120</v>
      </c>
      <c r="BU5" s="42" t="s">
        <v>120</v>
      </c>
      <c r="BV5" s="42" t="s">
        <v>120</v>
      </c>
      <c r="BW5" s="42" t="s">
        <v>120</v>
      </c>
      <c r="BX5" s="42" t="s">
        <v>120</v>
      </c>
      <c r="BY5" s="42" t="s">
        <v>120</v>
      </c>
      <c r="BZ5" s="42" t="s">
        <v>120</v>
      </c>
      <c r="CA5" s="42" t="s">
        <v>120</v>
      </c>
      <c r="CB5" s="42" t="s">
        <v>120</v>
      </c>
      <c r="CC5" s="42" t="s">
        <v>120</v>
      </c>
      <c r="CD5" s="42" t="s">
        <v>120</v>
      </c>
      <c r="CE5" s="42" t="s">
        <v>120</v>
      </c>
      <c r="CF5" s="42" t="s">
        <v>120</v>
      </c>
      <c r="CG5" s="42" t="s">
        <v>120</v>
      </c>
      <c r="CH5" s="42" t="s">
        <v>120</v>
      </c>
      <c r="CI5" s="42" t="s">
        <v>120</v>
      </c>
      <c r="CJ5" s="42" t="s">
        <v>120</v>
      </c>
      <c r="CK5" s="42" t="s">
        <v>120</v>
      </c>
      <c r="CL5" s="42" t="s">
        <v>120</v>
      </c>
      <c r="CM5" s="42" t="s">
        <v>120</v>
      </c>
      <c r="CN5" s="42" t="s">
        <v>120</v>
      </c>
      <c r="CO5" s="42" t="s">
        <v>120</v>
      </c>
      <c r="CP5" s="42" t="s">
        <v>120</v>
      </c>
      <c r="CQ5" s="42" t="s">
        <v>120</v>
      </c>
      <c r="CR5" s="42" t="s">
        <v>120</v>
      </c>
      <c r="CS5" s="42" t="s">
        <v>120</v>
      </c>
      <c r="CT5" s="42" t="s">
        <v>120</v>
      </c>
      <c r="CU5" s="42" t="s">
        <v>120</v>
      </c>
      <c r="CV5" s="42" t="s">
        <v>120</v>
      </c>
      <c r="CW5" s="42" t="s">
        <v>120</v>
      </c>
      <c r="CX5" s="42" t="s">
        <v>120</v>
      </c>
      <c r="CY5" s="42" t="s">
        <v>120</v>
      </c>
      <c r="CZ5" s="42" t="s">
        <v>120</v>
      </c>
      <c r="DA5" s="42" t="s">
        <v>120</v>
      </c>
      <c r="DB5" s="42" t="s">
        <v>120</v>
      </c>
      <c r="DC5" s="42" t="s">
        <v>120</v>
      </c>
      <c r="DD5" s="42" t="s">
        <v>120</v>
      </c>
      <c r="DE5" s="42" t="s">
        <v>120</v>
      </c>
      <c r="DF5" s="42" t="s">
        <v>120</v>
      </c>
    </row>
    <row r="6" spans="1:110" s="42" customFormat="1" ht="45">
      <c r="A6" s="42">
        <v>6</v>
      </c>
      <c r="B6" s="42" t="s">
        <v>110</v>
      </c>
      <c r="D6" s="42" t="s">
        <v>211</v>
      </c>
      <c r="E6" s="42" t="s">
        <v>212</v>
      </c>
      <c r="F6" s="42" t="s">
        <v>213</v>
      </c>
      <c r="G6" s="42" t="s">
        <v>110</v>
      </c>
      <c r="I6" s="42" t="s">
        <v>110</v>
      </c>
      <c r="K6" s="42" t="s">
        <v>110</v>
      </c>
      <c r="L6" s="42">
        <v>2013</v>
      </c>
      <c r="M6" s="43" t="s">
        <v>214</v>
      </c>
      <c r="N6" s="42" t="s">
        <v>110</v>
      </c>
      <c r="O6" s="42" t="s">
        <v>110</v>
      </c>
      <c r="P6" s="42" t="s">
        <v>215</v>
      </c>
      <c r="Q6" s="42" t="s">
        <v>110</v>
      </c>
      <c r="R6" s="42" t="s">
        <v>110</v>
      </c>
      <c r="S6" s="42" t="s">
        <v>110</v>
      </c>
      <c r="T6" s="42" t="s">
        <v>110</v>
      </c>
      <c r="U6" s="42" t="s">
        <v>110</v>
      </c>
      <c r="V6" s="42" t="s">
        <v>216</v>
      </c>
      <c r="W6" s="42" t="s">
        <v>217</v>
      </c>
      <c r="X6" s="42" t="s">
        <v>119</v>
      </c>
      <c r="Y6" s="42" t="s">
        <v>120</v>
      </c>
      <c r="Z6" s="42" t="s">
        <v>218</v>
      </c>
      <c r="AA6" s="42" t="s">
        <v>219</v>
      </c>
      <c r="AB6" s="42" t="s">
        <v>220</v>
      </c>
      <c r="AC6" s="42" t="s">
        <v>120</v>
      </c>
      <c r="AD6" s="42" t="s">
        <v>120</v>
      </c>
      <c r="AE6" s="42" t="s">
        <v>125</v>
      </c>
      <c r="AF6" s="42" t="s">
        <v>221</v>
      </c>
      <c r="AG6" s="42" t="s">
        <v>222</v>
      </c>
      <c r="AH6" s="42">
        <v>3500</v>
      </c>
      <c r="AI6" s="42" t="s">
        <v>128</v>
      </c>
      <c r="AJ6" s="42" t="s">
        <v>129</v>
      </c>
      <c r="AK6" s="42" t="s">
        <v>130</v>
      </c>
      <c r="AL6" s="42" t="s">
        <v>131</v>
      </c>
      <c r="AM6" s="42" t="s">
        <v>132</v>
      </c>
      <c r="AO6" s="42" t="s">
        <v>133</v>
      </c>
      <c r="AP6" s="42" t="s">
        <v>223</v>
      </c>
      <c r="AT6" s="42" t="s">
        <v>224</v>
      </c>
      <c r="AU6" s="42" t="s">
        <v>225</v>
      </c>
      <c r="AV6" s="42" t="s">
        <v>226</v>
      </c>
      <c r="AW6" s="42" t="s">
        <v>227</v>
      </c>
      <c r="AX6" s="42">
        <v>600</v>
      </c>
      <c r="AY6" s="42" t="s">
        <v>228</v>
      </c>
      <c r="AZ6" s="42" t="s">
        <v>120</v>
      </c>
      <c r="BA6" s="42" t="s">
        <v>120</v>
      </c>
      <c r="BB6" s="42">
        <v>0.01</v>
      </c>
      <c r="BQ6" s="42" t="s">
        <v>229</v>
      </c>
      <c r="BR6" s="44" t="s">
        <v>230</v>
      </c>
      <c r="BS6" s="44" t="s">
        <v>230</v>
      </c>
      <c r="BT6" s="42" t="s">
        <v>120</v>
      </c>
      <c r="BU6" s="44" t="s">
        <v>231</v>
      </c>
      <c r="BX6" s="42" t="s">
        <v>232</v>
      </c>
      <c r="BY6" s="42" t="s">
        <v>171</v>
      </c>
      <c r="BZ6" s="50" t="s">
        <v>172</v>
      </c>
    </row>
    <row r="7" spans="1:110" s="42" customFormat="1" ht="18.75" customHeight="1">
      <c r="A7" s="42">
        <v>7</v>
      </c>
      <c r="B7" s="42" t="s">
        <v>110</v>
      </c>
      <c r="D7" s="42" t="s">
        <v>233</v>
      </c>
      <c r="E7" s="42" t="s">
        <v>234</v>
      </c>
      <c r="F7" s="42" t="s">
        <v>235</v>
      </c>
      <c r="G7" s="42" t="s">
        <v>236</v>
      </c>
      <c r="H7" s="42">
        <v>31</v>
      </c>
      <c r="I7" s="42" t="s">
        <v>110</v>
      </c>
      <c r="K7" s="42" t="s">
        <v>237</v>
      </c>
      <c r="L7" s="42">
        <v>2013</v>
      </c>
      <c r="M7" s="43" t="s">
        <v>238</v>
      </c>
      <c r="N7" s="42" t="s">
        <v>110</v>
      </c>
      <c r="O7" s="42" t="s">
        <v>110</v>
      </c>
      <c r="P7" s="42" t="s">
        <v>110</v>
      </c>
      <c r="Q7" s="42" t="s">
        <v>110</v>
      </c>
      <c r="R7" s="42" t="s">
        <v>110</v>
      </c>
      <c r="S7" s="42" t="s">
        <v>110</v>
      </c>
      <c r="T7" s="42" t="s">
        <v>110</v>
      </c>
      <c r="U7" s="42" t="s">
        <v>110</v>
      </c>
      <c r="V7" s="42" t="s">
        <v>239</v>
      </c>
      <c r="W7" s="44" t="s">
        <v>240</v>
      </c>
      <c r="X7" s="42" t="s">
        <v>119</v>
      </c>
      <c r="Y7" s="42" t="s">
        <v>120</v>
      </c>
      <c r="Z7" s="42" t="s">
        <v>218</v>
      </c>
      <c r="AA7" s="42" t="s">
        <v>199</v>
      </c>
      <c r="AC7" s="42" t="s">
        <v>120</v>
      </c>
      <c r="AD7" s="42" t="s">
        <v>120</v>
      </c>
      <c r="AE7" s="44" t="s">
        <v>181</v>
      </c>
      <c r="AF7" s="42" t="s">
        <v>120</v>
      </c>
      <c r="AG7" s="42" t="s">
        <v>120</v>
      </c>
      <c r="AH7" s="42" t="s">
        <v>120</v>
      </c>
      <c r="AI7" s="42" t="s">
        <v>128</v>
      </c>
      <c r="AJ7" s="42" t="s">
        <v>129</v>
      </c>
      <c r="AK7" s="42" t="s">
        <v>130</v>
      </c>
      <c r="AL7" s="42" t="s">
        <v>131</v>
      </c>
      <c r="AM7" s="42" t="s">
        <v>132</v>
      </c>
      <c r="AO7" s="42" t="s">
        <v>241</v>
      </c>
      <c r="AP7" s="42" t="s">
        <v>223</v>
      </c>
      <c r="AQ7" s="42" t="s">
        <v>120</v>
      </c>
      <c r="AR7" s="42" t="s">
        <v>120</v>
      </c>
      <c r="AS7" s="42" t="s">
        <v>120</v>
      </c>
      <c r="AT7" s="42" t="s">
        <v>135</v>
      </c>
      <c r="AU7" s="42" t="s">
        <v>242</v>
      </c>
      <c r="AV7" s="42" t="s">
        <v>243</v>
      </c>
      <c r="AW7" s="42" t="s">
        <v>244</v>
      </c>
      <c r="AX7" s="42">
        <v>8</v>
      </c>
      <c r="AY7" s="42" t="s">
        <v>228</v>
      </c>
      <c r="AZ7" s="42" t="s">
        <v>200</v>
      </c>
      <c r="BA7" s="42" t="s">
        <v>200</v>
      </c>
    </row>
    <row r="8" spans="1:110" s="42" customFormat="1" ht="18.75" customHeight="1">
      <c r="A8" s="42">
        <v>7</v>
      </c>
      <c r="B8" s="42" t="s">
        <v>110</v>
      </c>
      <c r="D8" s="42" t="s">
        <v>245</v>
      </c>
      <c r="E8" s="42" t="s">
        <v>246</v>
      </c>
      <c r="F8" s="42" t="s">
        <v>247</v>
      </c>
      <c r="G8" s="42" t="s">
        <v>248</v>
      </c>
      <c r="H8" s="42">
        <v>32</v>
      </c>
      <c r="I8" s="42" t="s">
        <v>110</v>
      </c>
      <c r="K8" s="42" t="s">
        <v>249</v>
      </c>
      <c r="L8" s="42">
        <v>2014</v>
      </c>
      <c r="M8" s="43" t="s">
        <v>250</v>
      </c>
      <c r="N8" s="42" t="s">
        <v>110</v>
      </c>
      <c r="O8" s="42" t="s">
        <v>110</v>
      </c>
      <c r="P8" s="42" t="s">
        <v>110</v>
      </c>
      <c r="Q8" s="42" t="s">
        <v>110</v>
      </c>
      <c r="R8" s="42" t="s">
        <v>110</v>
      </c>
      <c r="S8" s="42" t="s">
        <v>110</v>
      </c>
      <c r="T8" s="42" t="s">
        <v>110</v>
      </c>
      <c r="U8" s="42" t="s">
        <v>110</v>
      </c>
      <c r="V8" s="42" t="s">
        <v>251</v>
      </c>
      <c r="W8" s="44" t="s">
        <v>252</v>
      </c>
      <c r="X8" s="42" t="s">
        <v>119</v>
      </c>
      <c r="Y8" s="42" t="s">
        <v>120</v>
      </c>
      <c r="Z8" s="42" t="s">
        <v>218</v>
      </c>
      <c r="AA8" s="42" t="s">
        <v>253</v>
      </c>
      <c r="AB8" s="42" t="s">
        <v>254</v>
      </c>
      <c r="AC8" s="42" t="s">
        <v>120</v>
      </c>
      <c r="AD8" s="42" t="s">
        <v>120</v>
      </c>
      <c r="AE8" s="44" t="s">
        <v>255</v>
      </c>
      <c r="AF8" s="42" t="s">
        <v>120</v>
      </c>
      <c r="AG8" s="42" t="s">
        <v>120</v>
      </c>
      <c r="AH8" s="42" t="s">
        <v>120</v>
      </c>
      <c r="AI8" s="42" t="s">
        <v>128</v>
      </c>
      <c r="AJ8" s="42" t="s">
        <v>129</v>
      </c>
      <c r="AK8" s="42" t="s">
        <v>130</v>
      </c>
      <c r="AL8" s="42" t="s">
        <v>131</v>
      </c>
      <c r="AM8" s="42" t="s">
        <v>132</v>
      </c>
      <c r="AO8" s="42" t="s">
        <v>241</v>
      </c>
      <c r="AP8" s="42" t="s">
        <v>223</v>
      </c>
      <c r="AQ8" s="42" t="s">
        <v>120</v>
      </c>
      <c r="AR8" s="42" t="s">
        <v>120</v>
      </c>
      <c r="AS8" s="42" t="s">
        <v>120</v>
      </c>
      <c r="AT8" s="42" t="s">
        <v>224</v>
      </c>
      <c r="AU8" s="42" t="s">
        <v>242</v>
      </c>
      <c r="AV8" s="42" t="s">
        <v>256</v>
      </c>
      <c r="AW8" s="42" t="s">
        <v>138</v>
      </c>
      <c r="AX8" s="44" t="s">
        <v>257</v>
      </c>
      <c r="AY8" s="44" t="s">
        <v>258</v>
      </c>
      <c r="AZ8" s="42" t="s">
        <v>120</v>
      </c>
      <c r="BA8" s="42" t="s">
        <v>120</v>
      </c>
      <c r="BB8" s="45">
        <v>0.5</v>
      </c>
      <c r="BC8" s="42" t="s">
        <v>259</v>
      </c>
      <c r="BD8" s="42" t="s">
        <v>260</v>
      </c>
      <c r="BE8" s="42" t="s">
        <v>260</v>
      </c>
      <c r="BF8" s="42" t="s">
        <v>261</v>
      </c>
      <c r="BQ8" s="46" t="s">
        <v>229</v>
      </c>
      <c r="BR8" s="44">
        <v>21.6</v>
      </c>
      <c r="BS8" s="44" t="s">
        <v>262</v>
      </c>
      <c r="BT8" s="42" t="s">
        <v>263</v>
      </c>
      <c r="BU8" s="44" t="s">
        <v>257</v>
      </c>
      <c r="BX8" s="42" t="s">
        <v>264</v>
      </c>
    </row>
    <row r="9" spans="1:110" s="42" customFormat="1" ht="45">
      <c r="A9" s="42">
        <v>7</v>
      </c>
      <c r="B9" s="42" t="s">
        <v>110</v>
      </c>
      <c r="D9" s="42" t="s">
        <v>265</v>
      </c>
      <c r="E9" s="42" t="s">
        <v>266</v>
      </c>
      <c r="F9" s="42" t="s">
        <v>267</v>
      </c>
      <c r="G9" s="42" t="s">
        <v>268</v>
      </c>
      <c r="H9" s="42">
        <v>185</v>
      </c>
      <c r="I9" s="42" t="s">
        <v>110</v>
      </c>
      <c r="J9" s="42">
        <v>3</v>
      </c>
      <c r="K9" s="42" t="s">
        <v>269</v>
      </c>
      <c r="L9" s="42">
        <v>2014</v>
      </c>
      <c r="M9" s="43" t="s">
        <v>270</v>
      </c>
      <c r="N9" s="42" t="s">
        <v>110</v>
      </c>
      <c r="O9" s="42" t="s">
        <v>110</v>
      </c>
      <c r="P9" s="42" t="s">
        <v>110</v>
      </c>
      <c r="Q9" s="42" t="s">
        <v>110</v>
      </c>
      <c r="R9" s="42" t="s">
        <v>110</v>
      </c>
      <c r="S9" s="42" t="s">
        <v>110</v>
      </c>
      <c r="T9" s="42" t="s">
        <v>110</v>
      </c>
      <c r="U9" s="42" t="s">
        <v>110</v>
      </c>
      <c r="V9" s="42" t="s">
        <v>271</v>
      </c>
      <c r="W9" s="42" t="s">
        <v>272</v>
      </c>
      <c r="X9" s="42" t="s">
        <v>273</v>
      </c>
      <c r="Y9" s="42" t="s">
        <v>120</v>
      </c>
      <c r="Z9" s="42" t="s">
        <v>180</v>
      </c>
      <c r="AA9" s="42" t="s">
        <v>274</v>
      </c>
      <c r="AE9" s="44" t="s">
        <v>181</v>
      </c>
      <c r="AF9" s="42" t="s">
        <v>120</v>
      </c>
      <c r="AG9" s="42" t="s">
        <v>120</v>
      </c>
      <c r="AH9" s="42" t="s">
        <v>275</v>
      </c>
      <c r="AI9" s="42" t="s">
        <v>182</v>
      </c>
      <c r="AJ9" s="42" t="s">
        <v>183</v>
      </c>
      <c r="AK9" s="42" t="s">
        <v>184</v>
      </c>
      <c r="AL9" s="42" t="s">
        <v>185</v>
      </c>
      <c r="AM9" s="42" t="s">
        <v>186</v>
      </c>
      <c r="AO9" s="42" t="s">
        <v>187</v>
      </c>
      <c r="AP9" s="42" t="s">
        <v>223</v>
      </c>
      <c r="AT9" s="42" t="s">
        <v>135</v>
      </c>
      <c r="AU9" s="42" t="s">
        <v>242</v>
      </c>
      <c r="AV9" s="42" t="s">
        <v>276</v>
      </c>
      <c r="AW9" s="42" t="s">
        <v>138</v>
      </c>
      <c r="AX9" s="42">
        <v>75</v>
      </c>
      <c r="AY9" s="44" t="s">
        <v>277</v>
      </c>
      <c r="AZ9" s="42" t="s">
        <v>120</v>
      </c>
      <c r="BA9" s="42" t="s">
        <v>120</v>
      </c>
      <c r="BB9" s="45">
        <v>0.5</v>
      </c>
      <c r="BC9" s="42" t="s">
        <v>278</v>
      </c>
      <c r="BD9" s="44" t="s">
        <v>279</v>
      </c>
      <c r="BF9" s="42" t="s">
        <v>280</v>
      </c>
      <c r="BH9" s="42" t="s">
        <v>281</v>
      </c>
      <c r="BI9" s="44" t="s">
        <v>282</v>
      </c>
      <c r="BQ9" s="42" t="s">
        <v>283</v>
      </c>
      <c r="BR9" s="44" t="s">
        <v>284</v>
      </c>
      <c r="BS9" s="44" t="s">
        <v>284</v>
      </c>
      <c r="BT9" s="38" t="s">
        <v>285</v>
      </c>
      <c r="BU9" s="44" t="s">
        <v>286</v>
      </c>
      <c r="BX9" s="42" t="s">
        <v>287</v>
      </c>
      <c r="BY9" s="42" t="s">
        <v>171</v>
      </c>
    </row>
    <row r="10" spans="1:110" s="42" customFormat="1" ht="12" customHeight="1">
      <c r="A10" s="42">
        <v>5</v>
      </c>
      <c r="B10" s="42" t="s">
        <v>288</v>
      </c>
      <c r="D10" s="42" t="s">
        <v>289</v>
      </c>
      <c r="E10" s="42" t="s">
        <v>290</v>
      </c>
      <c r="F10" s="44" t="s">
        <v>291</v>
      </c>
      <c r="G10" s="42" t="s">
        <v>110</v>
      </c>
      <c r="H10" s="42">
        <v>58</v>
      </c>
      <c r="I10" s="42" t="s">
        <v>110</v>
      </c>
      <c r="K10" s="42" t="s">
        <v>110</v>
      </c>
      <c r="L10" s="42">
        <v>2015</v>
      </c>
      <c r="M10" s="42" t="s">
        <v>110</v>
      </c>
      <c r="N10" s="42" t="s">
        <v>110</v>
      </c>
      <c r="O10" s="42" t="s">
        <v>110</v>
      </c>
      <c r="P10" s="44" t="s">
        <v>292</v>
      </c>
      <c r="Q10" s="44" t="s">
        <v>293</v>
      </c>
      <c r="R10" s="42" t="s">
        <v>294</v>
      </c>
      <c r="S10" s="42" t="s">
        <v>295</v>
      </c>
      <c r="T10" s="42" t="s">
        <v>110</v>
      </c>
      <c r="U10" s="42" t="s">
        <v>110</v>
      </c>
      <c r="V10" s="42" t="s">
        <v>110</v>
      </c>
      <c r="W10" s="42" t="s">
        <v>110</v>
      </c>
      <c r="X10" s="42" t="s">
        <v>119</v>
      </c>
      <c r="Y10" s="42" t="s">
        <v>120</v>
      </c>
      <c r="Z10" s="42" t="s">
        <v>218</v>
      </c>
      <c r="AA10" s="42" t="s">
        <v>219</v>
      </c>
      <c r="AB10" s="42" t="s">
        <v>220</v>
      </c>
      <c r="AD10" s="42" t="s">
        <v>296</v>
      </c>
      <c r="AE10" s="44" t="s">
        <v>125</v>
      </c>
      <c r="AF10" s="42" t="s">
        <v>297</v>
      </c>
      <c r="AG10" s="44" t="s">
        <v>298</v>
      </c>
      <c r="AH10" s="42">
        <v>3.1869999999999998</v>
      </c>
      <c r="AI10" s="42" t="s">
        <v>128</v>
      </c>
      <c r="AJ10" s="42" t="s">
        <v>129</v>
      </c>
      <c r="AK10" s="42" t="s">
        <v>130</v>
      </c>
      <c r="AL10" s="42" t="s">
        <v>131</v>
      </c>
      <c r="AM10" s="42" t="s">
        <v>132</v>
      </c>
      <c r="AO10" s="42" t="s">
        <v>299</v>
      </c>
      <c r="AP10" s="42" t="s">
        <v>223</v>
      </c>
      <c r="AT10" s="42" t="s">
        <v>224</v>
      </c>
      <c r="AU10" s="42" t="s">
        <v>242</v>
      </c>
      <c r="AV10" s="42" t="s">
        <v>300</v>
      </c>
      <c r="AW10" s="42" t="s">
        <v>138</v>
      </c>
      <c r="AX10" s="42">
        <v>150</v>
      </c>
      <c r="AY10" s="42" t="s">
        <v>228</v>
      </c>
      <c r="BQ10" s="42" t="s">
        <v>301</v>
      </c>
      <c r="BR10" s="42" t="s">
        <v>302</v>
      </c>
      <c r="BS10" s="42" t="s">
        <v>302</v>
      </c>
      <c r="BU10" s="44" t="s">
        <v>303</v>
      </c>
      <c r="BX10" s="42" t="s">
        <v>232</v>
      </c>
      <c r="BY10" s="42" t="s">
        <v>171</v>
      </c>
      <c r="BZ10" s="42" t="s">
        <v>304</v>
      </c>
    </row>
    <row r="11" spans="1:110" s="42" customFormat="1" ht="14.25" customHeight="1">
      <c r="A11" s="42">
        <v>7</v>
      </c>
      <c r="B11" s="42" t="s">
        <v>110</v>
      </c>
      <c r="D11" s="42" t="s">
        <v>305</v>
      </c>
      <c r="E11" s="42" t="s">
        <v>306</v>
      </c>
      <c r="F11" s="42" t="s">
        <v>307</v>
      </c>
      <c r="G11" s="42" t="s">
        <v>308</v>
      </c>
      <c r="H11" s="42">
        <v>4</v>
      </c>
      <c r="I11" s="42" t="s">
        <v>110</v>
      </c>
      <c r="K11" s="68" t="s">
        <v>309</v>
      </c>
      <c r="L11" s="42">
        <v>2015</v>
      </c>
      <c r="M11" s="43" t="s">
        <v>310</v>
      </c>
      <c r="N11" s="42" t="s">
        <v>110</v>
      </c>
      <c r="O11" s="42" t="s">
        <v>110</v>
      </c>
      <c r="P11" s="42" t="s">
        <v>110</v>
      </c>
      <c r="Q11" s="42" t="s">
        <v>110</v>
      </c>
      <c r="R11" s="42" t="s">
        <v>110</v>
      </c>
      <c r="S11" s="42" t="s">
        <v>110</v>
      </c>
      <c r="T11" s="42" t="s">
        <v>110</v>
      </c>
      <c r="U11" s="42" t="s">
        <v>110</v>
      </c>
      <c r="V11" s="42" t="s">
        <v>311</v>
      </c>
      <c r="W11" s="44" t="s">
        <v>312</v>
      </c>
      <c r="X11" s="42" t="s">
        <v>119</v>
      </c>
      <c r="Y11" s="42" t="s">
        <v>120</v>
      </c>
      <c r="Z11" s="42" t="s">
        <v>218</v>
      </c>
      <c r="AA11" s="42" t="s">
        <v>313</v>
      </c>
      <c r="AB11" s="42" t="s">
        <v>314</v>
      </c>
      <c r="AD11" s="42" t="s">
        <v>315</v>
      </c>
      <c r="AE11" s="42" t="s">
        <v>125</v>
      </c>
      <c r="AF11" s="42" t="s">
        <v>316</v>
      </c>
      <c r="AG11" s="42" t="s">
        <v>317</v>
      </c>
      <c r="AH11" s="42">
        <v>3200</v>
      </c>
      <c r="AI11" s="42" t="s">
        <v>128</v>
      </c>
      <c r="AJ11" s="42" t="s">
        <v>129</v>
      </c>
      <c r="AK11" s="42" t="s">
        <v>130</v>
      </c>
      <c r="AL11" s="42" t="s">
        <v>131</v>
      </c>
      <c r="AM11" s="42" t="s">
        <v>132</v>
      </c>
      <c r="AO11" s="42" t="s">
        <v>318</v>
      </c>
      <c r="AT11" s="42" t="s">
        <v>135</v>
      </c>
      <c r="AU11" s="42" t="s">
        <v>225</v>
      </c>
      <c r="AV11" s="42" t="s">
        <v>319</v>
      </c>
      <c r="AW11" s="42" t="s">
        <v>227</v>
      </c>
      <c r="AX11" s="42">
        <v>6</v>
      </c>
      <c r="AY11" s="42" t="s">
        <v>228</v>
      </c>
      <c r="BQ11" s="42" t="s">
        <v>320</v>
      </c>
      <c r="BR11" s="44" t="s">
        <v>321</v>
      </c>
      <c r="BX11" s="42" t="s">
        <v>322</v>
      </c>
      <c r="BY11" s="42" t="s">
        <v>171</v>
      </c>
      <c r="BZ11" s="44" t="s">
        <v>323</v>
      </c>
    </row>
    <row r="12" spans="1:110" s="42" customFormat="1" ht="30">
      <c r="A12" s="42">
        <v>7</v>
      </c>
      <c r="B12" s="42" t="s">
        <v>110</v>
      </c>
      <c r="C12" s="42" t="s">
        <v>324</v>
      </c>
      <c r="D12" s="42" t="s">
        <v>325</v>
      </c>
      <c r="E12" s="42" t="s">
        <v>326</v>
      </c>
      <c r="F12" s="42" t="s">
        <v>327</v>
      </c>
      <c r="G12" s="42" t="s">
        <v>328</v>
      </c>
      <c r="H12" s="42">
        <v>71</v>
      </c>
      <c r="I12" s="42" t="s">
        <v>110</v>
      </c>
      <c r="J12" s="42">
        <v>11</v>
      </c>
      <c r="K12" s="42" t="s">
        <v>329</v>
      </c>
      <c r="L12" s="42">
        <v>2015</v>
      </c>
      <c r="M12" s="42" t="s">
        <v>330</v>
      </c>
      <c r="N12" s="42" t="s">
        <v>110</v>
      </c>
      <c r="O12" s="42" t="s">
        <v>110</v>
      </c>
      <c r="P12" s="42" t="s">
        <v>110</v>
      </c>
      <c r="Q12" s="42" t="s">
        <v>110</v>
      </c>
      <c r="R12" s="42" t="s">
        <v>110</v>
      </c>
      <c r="S12" s="42" t="s">
        <v>331</v>
      </c>
      <c r="T12" s="42" t="s">
        <v>110</v>
      </c>
      <c r="U12" s="42" t="s">
        <v>110</v>
      </c>
      <c r="V12" s="42" t="s">
        <v>332</v>
      </c>
      <c r="W12" s="42" t="s">
        <v>333</v>
      </c>
      <c r="X12" s="42" t="s">
        <v>119</v>
      </c>
      <c r="Y12" s="42" t="s">
        <v>120</v>
      </c>
      <c r="Z12" s="42" t="s">
        <v>121</v>
      </c>
      <c r="AA12" s="42" t="s">
        <v>334</v>
      </c>
      <c r="AB12" s="42" t="s">
        <v>335</v>
      </c>
      <c r="AC12" s="42" t="s">
        <v>336</v>
      </c>
      <c r="AD12" s="42" t="s">
        <v>337</v>
      </c>
      <c r="AE12" s="42" t="s">
        <v>125</v>
      </c>
      <c r="AF12" s="48" t="s">
        <v>338</v>
      </c>
      <c r="AG12" s="49" t="s">
        <v>339</v>
      </c>
      <c r="AH12" s="42">
        <v>2495</v>
      </c>
      <c r="AI12" s="42" t="s">
        <v>182</v>
      </c>
      <c r="AJ12" s="42" t="s">
        <v>183</v>
      </c>
      <c r="AK12" s="42" t="s">
        <v>184</v>
      </c>
      <c r="AL12" s="42" t="s">
        <v>131</v>
      </c>
      <c r="AM12" s="42" t="s">
        <v>340</v>
      </c>
      <c r="AN12" s="42" t="s">
        <v>341</v>
      </c>
      <c r="AO12" s="42" t="s">
        <v>133</v>
      </c>
      <c r="AP12" s="42" t="s">
        <v>223</v>
      </c>
      <c r="AQ12" s="42" t="s">
        <v>120</v>
      </c>
      <c r="AR12" s="42" t="s">
        <v>120</v>
      </c>
      <c r="AS12" s="42" t="s">
        <v>120</v>
      </c>
      <c r="AT12" s="42" t="s">
        <v>135</v>
      </c>
      <c r="AU12" s="42" t="s">
        <v>242</v>
      </c>
      <c r="AV12" s="42" t="s">
        <v>342</v>
      </c>
      <c r="AW12" s="42" t="s">
        <v>120</v>
      </c>
      <c r="AX12" s="42">
        <v>2</v>
      </c>
      <c r="AY12" s="42" t="s">
        <v>228</v>
      </c>
      <c r="AZ12" s="42">
        <v>2012</v>
      </c>
      <c r="BA12" s="42">
        <v>2012</v>
      </c>
      <c r="BB12" s="42" t="s">
        <v>120</v>
      </c>
      <c r="BC12" s="42" t="s">
        <v>120</v>
      </c>
      <c r="BD12" s="42" t="s">
        <v>120</v>
      </c>
      <c r="BE12" s="42" t="s">
        <v>120</v>
      </c>
      <c r="BF12" s="42" t="s">
        <v>120</v>
      </c>
      <c r="BG12" s="42" t="s">
        <v>120</v>
      </c>
      <c r="BH12" s="42" t="s">
        <v>120</v>
      </c>
      <c r="BI12" s="42" t="s">
        <v>120</v>
      </c>
      <c r="BJ12" s="42" t="s">
        <v>120</v>
      </c>
      <c r="BK12" s="42" t="s">
        <v>120</v>
      </c>
      <c r="BL12" s="42" t="s">
        <v>120</v>
      </c>
      <c r="BM12" s="42" t="s">
        <v>120</v>
      </c>
      <c r="BN12" s="42" t="s">
        <v>120</v>
      </c>
      <c r="BO12" s="42" t="s">
        <v>120</v>
      </c>
      <c r="BP12" s="42" t="s">
        <v>120</v>
      </c>
      <c r="BQ12" s="42" t="s">
        <v>320</v>
      </c>
      <c r="BR12" s="42" t="s">
        <v>343</v>
      </c>
      <c r="BS12" s="42">
        <v>126.67</v>
      </c>
      <c r="BT12" s="42" t="s">
        <v>120</v>
      </c>
      <c r="BU12" s="42" t="s">
        <v>344</v>
      </c>
      <c r="BV12" s="42" t="s">
        <v>120</v>
      </c>
      <c r="BW12" s="42" t="s">
        <v>120</v>
      </c>
      <c r="BX12" s="42" t="s">
        <v>345</v>
      </c>
      <c r="BY12" s="42" t="s">
        <v>171</v>
      </c>
      <c r="BZ12" s="42" t="s">
        <v>346</v>
      </c>
      <c r="CA12" s="42" t="s">
        <v>120</v>
      </c>
      <c r="CB12" s="42" t="s">
        <v>120</v>
      </c>
      <c r="CC12" s="42" t="s">
        <v>120</v>
      </c>
      <c r="CD12" s="42" t="s">
        <v>120</v>
      </c>
      <c r="CE12" s="42" t="s">
        <v>120</v>
      </c>
      <c r="CF12" s="42" t="s">
        <v>120</v>
      </c>
      <c r="CG12" s="42" t="s">
        <v>120</v>
      </c>
      <c r="CH12" s="42" t="s">
        <v>120</v>
      </c>
      <c r="CI12" s="42" t="s">
        <v>120</v>
      </c>
      <c r="CJ12" s="42" t="s">
        <v>120</v>
      </c>
      <c r="CK12" s="42" t="s">
        <v>120</v>
      </c>
      <c r="CL12" s="42" t="s">
        <v>120</v>
      </c>
      <c r="CM12" s="42" t="s">
        <v>120</v>
      </c>
      <c r="CN12" s="42" t="s">
        <v>120</v>
      </c>
      <c r="CO12" s="42" t="s">
        <v>120</v>
      </c>
      <c r="CP12" s="42" t="s">
        <v>120</v>
      </c>
      <c r="CQ12" s="42" t="s">
        <v>120</v>
      </c>
      <c r="CR12" s="42" t="s">
        <v>120</v>
      </c>
      <c r="CS12" s="42" t="s">
        <v>120</v>
      </c>
      <c r="CT12" s="42" t="s">
        <v>120</v>
      </c>
      <c r="CU12" s="42" t="s">
        <v>120</v>
      </c>
      <c r="CV12" s="42" t="s">
        <v>120</v>
      </c>
      <c r="CW12" s="42" t="s">
        <v>120</v>
      </c>
      <c r="CX12" s="42" t="s">
        <v>120</v>
      </c>
      <c r="CY12" s="42" t="s">
        <v>120</v>
      </c>
      <c r="CZ12" s="42" t="s">
        <v>120</v>
      </c>
      <c r="DA12" s="42" t="s">
        <v>120</v>
      </c>
      <c r="DB12" s="42" t="s">
        <v>120</v>
      </c>
      <c r="DC12" s="42" t="s">
        <v>120</v>
      </c>
      <c r="DD12" s="42" t="s">
        <v>120</v>
      </c>
      <c r="DE12" s="42" t="s">
        <v>120</v>
      </c>
      <c r="DF12" s="42" t="s">
        <v>120</v>
      </c>
    </row>
    <row r="13" spans="1:110" s="42" customFormat="1" ht="12" customHeight="1">
      <c r="A13" s="42">
        <v>7</v>
      </c>
      <c r="B13" s="42" t="s">
        <v>110</v>
      </c>
      <c r="D13" s="42" t="s">
        <v>347</v>
      </c>
      <c r="E13" s="42" t="s">
        <v>348</v>
      </c>
      <c r="F13" s="42" t="s">
        <v>349</v>
      </c>
      <c r="G13" s="42" t="s">
        <v>350</v>
      </c>
      <c r="H13" s="42">
        <v>21</v>
      </c>
      <c r="I13" s="42" t="s">
        <v>110</v>
      </c>
      <c r="K13" s="42" t="s">
        <v>351</v>
      </c>
      <c r="L13" s="42">
        <v>2016</v>
      </c>
      <c r="M13" s="42" t="s">
        <v>352</v>
      </c>
      <c r="N13" s="42" t="s">
        <v>110</v>
      </c>
      <c r="O13" s="42" t="s">
        <v>110</v>
      </c>
      <c r="P13" s="42" t="s">
        <v>110</v>
      </c>
      <c r="Q13" s="42" t="s">
        <v>110</v>
      </c>
      <c r="R13" s="42" t="s">
        <v>110</v>
      </c>
      <c r="S13" s="42" t="s">
        <v>110</v>
      </c>
      <c r="T13" s="42" t="s">
        <v>110</v>
      </c>
      <c r="U13" s="42" t="s">
        <v>110</v>
      </c>
      <c r="V13" s="44" t="s">
        <v>353</v>
      </c>
      <c r="W13" s="44" t="s">
        <v>354</v>
      </c>
      <c r="X13" s="42" t="s">
        <v>119</v>
      </c>
      <c r="Y13" s="42" t="s">
        <v>120</v>
      </c>
      <c r="Z13" s="42" t="s">
        <v>218</v>
      </c>
      <c r="AA13" s="42" t="s">
        <v>219</v>
      </c>
      <c r="AD13" s="44" t="s">
        <v>355</v>
      </c>
      <c r="AE13" s="44" t="s">
        <v>125</v>
      </c>
      <c r="AF13" s="42" t="s">
        <v>356</v>
      </c>
      <c r="AG13" s="44" t="s">
        <v>357</v>
      </c>
      <c r="AH13" s="42" t="s">
        <v>358</v>
      </c>
      <c r="AI13" s="42" t="s">
        <v>128</v>
      </c>
      <c r="AJ13" s="42" t="s">
        <v>129</v>
      </c>
      <c r="AK13" s="42" t="s">
        <v>130</v>
      </c>
      <c r="AL13" s="42" t="s">
        <v>131</v>
      </c>
      <c r="AM13" s="42" t="s">
        <v>132</v>
      </c>
      <c r="AO13" s="42" t="s">
        <v>299</v>
      </c>
      <c r="AP13" s="42" t="s">
        <v>223</v>
      </c>
      <c r="AT13" s="42" t="s">
        <v>135</v>
      </c>
      <c r="AU13" s="42" t="s">
        <v>242</v>
      </c>
      <c r="AV13" s="42" t="s">
        <v>359</v>
      </c>
      <c r="AW13" s="42" t="s">
        <v>138</v>
      </c>
      <c r="AX13" s="42">
        <v>9</v>
      </c>
      <c r="AY13" s="42" t="s">
        <v>228</v>
      </c>
      <c r="BQ13" s="42" t="s">
        <v>259</v>
      </c>
      <c r="BR13" s="44" t="s">
        <v>360</v>
      </c>
      <c r="BS13" s="42" t="s">
        <v>361</v>
      </c>
      <c r="BT13" s="42" t="s">
        <v>120</v>
      </c>
      <c r="BU13" s="44" t="s">
        <v>362</v>
      </c>
      <c r="BV13" s="42" t="s">
        <v>120</v>
      </c>
      <c r="BW13" s="42" t="s">
        <v>120</v>
      </c>
      <c r="BX13" s="42" t="s">
        <v>232</v>
      </c>
      <c r="BY13" s="42" t="s">
        <v>171</v>
      </c>
      <c r="BZ13" s="42" t="s">
        <v>304</v>
      </c>
    </row>
    <row r="14" spans="1:110" s="42" customFormat="1" ht="16.5" customHeight="1">
      <c r="A14" s="42">
        <v>7</v>
      </c>
      <c r="B14" s="42" t="s">
        <v>110</v>
      </c>
      <c r="D14" s="42" t="s">
        <v>363</v>
      </c>
      <c r="E14" s="42" t="s">
        <v>364</v>
      </c>
      <c r="F14" s="42" t="s">
        <v>365</v>
      </c>
      <c r="G14" s="42" t="s">
        <v>366</v>
      </c>
      <c r="H14" s="42">
        <v>7</v>
      </c>
      <c r="I14" s="42" t="s">
        <v>110</v>
      </c>
      <c r="K14" s="42" t="s">
        <v>367</v>
      </c>
      <c r="L14" s="42">
        <v>2016</v>
      </c>
      <c r="M14" s="43" t="s">
        <v>368</v>
      </c>
      <c r="N14" s="42" t="s">
        <v>110</v>
      </c>
      <c r="O14" s="42" t="s">
        <v>369</v>
      </c>
      <c r="P14" s="42" t="s">
        <v>110</v>
      </c>
      <c r="Q14" s="42" t="s">
        <v>110</v>
      </c>
      <c r="R14" s="42" t="s">
        <v>110</v>
      </c>
      <c r="S14" s="42" t="s">
        <v>110</v>
      </c>
      <c r="T14" s="42" t="s">
        <v>110</v>
      </c>
      <c r="U14" s="42" t="s">
        <v>110</v>
      </c>
      <c r="V14" s="42" t="s">
        <v>370</v>
      </c>
      <c r="W14" s="44" t="s">
        <v>371</v>
      </c>
      <c r="X14" s="42" t="s">
        <v>119</v>
      </c>
      <c r="Y14" s="42" t="s">
        <v>120</v>
      </c>
      <c r="Z14" s="42" t="s">
        <v>218</v>
      </c>
      <c r="AA14" s="42" t="s">
        <v>219</v>
      </c>
      <c r="AB14" s="42" t="s">
        <v>372</v>
      </c>
      <c r="AD14" s="42" t="s">
        <v>373</v>
      </c>
      <c r="AE14" s="44" t="s">
        <v>125</v>
      </c>
      <c r="AF14" s="42" t="s">
        <v>374</v>
      </c>
      <c r="AG14" s="42" t="s">
        <v>375</v>
      </c>
      <c r="AH14" s="42" t="s">
        <v>376</v>
      </c>
      <c r="AI14" s="42" t="s">
        <v>128</v>
      </c>
      <c r="AJ14" s="42" t="s">
        <v>129</v>
      </c>
      <c r="AK14" s="42" t="s">
        <v>130</v>
      </c>
      <c r="AL14" s="42" t="s">
        <v>131</v>
      </c>
      <c r="AM14" s="42" t="s">
        <v>132</v>
      </c>
      <c r="AO14" s="42" t="s">
        <v>299</v>
      </c>
      <c r="AP14" s="42" t="s">
        <v>223</v>
      </c>
      <c r="AT14" s="42" t="s">
        <v>224</v>
      </c>
      <c r="AU14" s="42" t="s">
        <v>242</v>
      </c>
      <c r="BQ14" s="42" t="s">
        <v>320</v>
      </c>
      <c r="BU14" s="44" t="s">
        <v>377</v>
      </c>
      <c r="BZ14" s="42" t="s">
        <v>378</v>
      </c>
    </row>
    <row r="15" spans="1:110" s="39" customFormat="1">
      <c r="A15" s="39">
        <v>7</v>
      </c>
      <c r="B15" s="39" t="s">
        <v>110</v>
      </c>
      <c r="C15" s="5" t="s">
        <v>379</v>
      </c>
      <c r="D15" s="39" t="s">
        <v>380</v>
      </c>
      <c r="E15" s="39" t="s">
        <v>381</v>
      </c>
      <c r="F15" s="39" t="s">
        <v>382</v>
      </c>
      <c r="G15" s="39" t="s">
        <v>383</v>
      </c>
      <c r="H15" s="39">
        <v>34</v>
      </c>
      <c r="I15" s="39" t="s">
        <v>110</v>
      </c>
      <c r="K15" s="39" t="s">
        <v>384</v>
      </c>
      <c r="L15" s="39">
        <v>2016</v>
      </c>
      <c r="M15" s="39" t="s">
        <v>385</v>
      </c>
      <c r="N15" s="39" t="s">
        <v>110</v>
      </c>
      <c r="O15" s="39" t="s">
        <v>110</v>
      </c>
      <c r="P15" s="39" t="s">
        <v>110</v>
      </c>
      <c r="Q15" s="39" t="s">
        <v>110</v>
      </c>
      <c r="R15" s="39" t="s">
        <v>110</v>
      </c>
      <c r="S15" s="39" t="s">
        <v>386</v>
      </c>
      <c r="T15" s="39" t="s">
        <v>110</v>
      </c>
      <c r="U15" s="39" t="s">
        <v>110</v>
      </c>
      <c r="V15" s="39" t="s">
        <v>387</v>
      </c>
      <c r="W15" s="39" t="s">
        <v>388</v>
      </c>
      <c r="X15" s="39" t="s">
        <v>119</v>
      </c>
      <c r="Y15" s="39" t="s">
        <v>120</v>
      </c>
      <c r="Z15" s="39" t="s">
        <v>121</v>
      </c>
      <c r="AA15" s="39" t="s">
        <v>199</v>
      </c>
      <c r="AB15" s="39" t="s">
        <v>389</v>
      </c>
      <c r="AC15" s="39" t="s">
        <v>390</v>
      </c>
      <c r="AD15" s="39" t="s">
        <v>391</v>
      </c>
      <c r="AE15" s="39" t="s">
        <v>125</v>
      </c>
      <c r="AF15" s="39" t="s">
        <v>120</v>
      </c>
      <c r="AG15" s="39" t="s">
        <v>120</v>
      </c>
      <c r="AH15" s="39">
        <v>3600</v>
      </c>
      <c r="AI15" s="39" t="s">
        <v>128</v>
      </c>
      <c r="AJ15" s="39" t="s">
        <v>129</v>
      </c>
      <c r="AK15" s="39" t="s">
        <v>130</v>
      </c>
      <c r="AL15" s="39" t="s">
        <v>131</v>
      </c>
      <c r="AM15" s="39" t="s">
        <v>128</v>
      </c>
      <c r="AN15" s="39" t="s">
        <v>392</v>
      </c>
      <c r="AO15" s="39" t="s">
        <v>318</v>
      </c>
      <c r="AP15" s="39" t="s">
        <v>134</v>
      </c>
      <c r="AQ15" s="39" t="s">
        <v>120</v>
      </c>
      <c r="AR15" s="39" t="s">
        <v>120</v>
      </c>
      <c r="AS15" s="39" t="s">
        <v>120</v>
      </c>
      <c r="AT15" s="39" t="s">
        <v>135</v>
      </c>
      <c r="AU15" s="39" t="s">
        <v>136</v>
      </c>
      <c r="AV15" s="39" t="s">
        <v>120</v>
      </c>
      <c r="AW15" s="39" t="s">
        <v>120</v>
      </c>
      <c r="AX15" s="39">
        <v>1</v>
      </c>
      <c r="AY15" s="39" t="s">
        <v>393</v>
      </c>
      <c r="AZ15" s="39" t="s">
        <v>394</v>
      </c>
      <c r="BA15" s="39">
        <v>2014</v>
      </c>
      <c r="BB15" s="39" t="s">
        <v>120</v>
      </c>
      <c r="BC15" s="39" t="s">
        <v>120</v>
      </c>
      <c r="BD15" s="39" t="s">
        <v>120</v>
      </c>
      <c r="BE15" s="39" t="s">
        <v>120</v>
      </c>
      <c r="BF15" s="39" t="s">
        <v>120</v>
      </c>
      <c r="BG15" s="39" t="s">
        <v>120</v>
      </c>
      <c r="BH15" s="39" t="s">
        <v>120</v>
      </c>
      <c r="BI15" s="39" t="s">
        <v>120</v>
      </c>
      <c r="BJ15" s="39" t="s">
        <v>120</v>
      </c>
      <c r="BK15" s="39" t="s">
        <v>120</v>
      </c>
      <c r="BL15" s="39" t="s">
        <v>120</v>
      </c>
      <c r="BM15" s="39" t="s">
        <v>120</v>
      </c>
      <c r="BN15" s="39" t="s">
        <v>120</v>
      </c>
      <c r="BO15" s="39" t="s">
        <v>120</v>
      </c>
      <c r="BP15" s="39" t="s">
        <v>120</v>
      </c>
      <c r="BQ15" s="39" t="s">
        <v>320</v>
      </c>
      <c r="BR15" s="39" t="s">
        <v>395</v>
      </c>
      <c r="BS15" s="39" t="s">
        <v>120</v>
      </c>
      <c r="BT15" s="39" t="s">
        <v>120</v>
      </c>
      <c r="BU15" s="39" t="s">
        <v>396</v>
      </c>
      <c r="BV15" s="39" t="s">
        <v>120</v>
      </c>
      <c r="BW15" s="39" t="s">
        <v>120</v>
      </c>
      <c r="BX15" s="39" t="s">
        <v>397</v>
      </c>
      <c r="BY15" s="39" t="s">
        <v>120</v>
      </c>
      <c r="BZ15" s="39" t="s">
        <v>398</v>
      </c>
      <c r="CA15" s="39" t="s">
        <v>120</v>
      </c>
      <c r="CB15" s="39" t="s">
        <v>120</v>
      </c>
      <c r="CC15" s="39" t="s">
        <v>120</v>
      </c>
      <c r="CD15" s="39" t="s">
        <v>120</v>
      </c>
      <c r="CE15" s="39" t="s">
        <v>120</v>
      </c>
      <c r="CF15" s="39" t="s">
        <v>120</v>
      </c>
      <c r="CG15" s="39" t="s">
        <v>120</v>
      </c>
      <c r="CH15" s="39" t="s">
        <v>120</v>
      </c>
      <c r="CI15" s="39" t="s">
        <v>120</v>
      </c>
      <c r="CJ15" s="39" t="s">
        <v>120</v>
      </c>
      <c r="CK15" s="39" t="s">
        <v>120</v>
      </c>
      <c r="CL15" s="39" t="s">
        <v>120</v>
      </c>
      <c r="CM15" s="39" t="s">
        <v>120</v>
      </c>
      <c r="CN15" s="39" t="s">
        <v>120</v>
      </c>
      <c r="CO15" s="39" t="s">
        <v>120</v>
      </c>
      <c r="CP15" s="39" t="s">
        <v>120</v>
      </c>
      <c r="CQ15" s="39" t="s">
        <v>120</v>
      </c>
      <c r="CR15" s="39" t="s">
        <v>399</v>
      </c>
      <c r="CS15" s="39">
        <v>0.42</v>
      </c>
      <c r="CT15" s="39">
        <v>36.79</v>
      </c>
      <c r="CU15" s="39" t="s">
        <v>120</v>
      </c>
      <c r="CV15" s="39" t="s">
        <v>400</v>
      </c>
      <c r="CW15" s="39" t="s">
        <v>120</v>
      </c>
      <c r="CX15" s="39" t="s">
        <v>120</v>
      </c>
      <c r="CY15" s="39" t="s">
        <v>120</v>
      </c>
      <c r="CZ15" s="39" t="s">
        <v>120</v>
      </c>
      <c r="DA15" s="39" t="s">
        <v>120</v>
      </c>
      <c r="DB15" s="39" t="s">
        <v>120</v>
      </c>
      <c r="DC15" s="39" t="s">
        <v>120</v>
      </c>
      <c r="DD15" s="39" t="s">
        <v>120</v>
      </c>
      <c r="DE15" s="39" t="s">
        <v>120</v>
      </c>
      <c r="DF15" s="39" t="s">
        <v>120</v>
      </c>
    </row>
    <row r="16" spans="1:110" s="42" customFormat="1" ht="17.25" customHeight="1">
      <c r="A16" s="42">
        <v>7</v>
      </c>
      <c r="B16" s="42" t="s">
        <v>110</v>
      </c>
      <c r="C16" s="42" t="s">
        <v>401</v>
      </c>
      <c r="D16" s="42" t="s">
        <v>402</v>
      </c>
      <c r="E16" s="42" t="s">
        <v>403</v>
      </c>
      <c r="F16" s="42" t="s">
        <v>404</v>
      </c>
      <c r="G16" s="42" t="s">
        <v>405</v>
      </c>
      <c r="H16" s="42">
        <v>66</v>
      </c>
      <c r="I16" s="42" t="s">
        <v>110</v>
      </c>
      <c r="K16" s="42" t="s">
        <v>110</v>
      </c>
      <c r="L16" s="42">
        <v>2017</v>
      </c>
      <c r="M16" s="43" t="s">
        <v>406</v>
      </c>
      <c r="N16" s="42" t="s">
        <v>110</v>
      </c>
      <c r="O16" s="42" t="s">
        <v>110</v>
      </c>
      <c r="P16" s="42" t="s">
        <v>110</v>
      </c>
      <c r="Q16" s="42" t="s">
        <v>110</v>
      </c>
      <c r="R16" s="42" t="s">
        <v>110</v>
      </c>
      <c r="S16" s="42" t="s">
        <v>407</v>
      </c>
      <c r="T16" s="42" t="s">
        <v>110</v>
      </c>
      <c r="U16" s="42" t="s">
        <v>110</v>
      </c>
      <c r="V16" s="42" t="s">
        <v>408</v>
      </c>
      <c r="W16" s="42" t="s">
        <v>409</v>
      </c>
      <c r="X16" s="42" t="s">
        <v>119</v>
      </c>
      <c r="Y16" s="42" t="s">
        <v>120</v>
      </c>
      <c r="Z16" s="42" t="s">
        <v>218</v>
      </c>
      <c r="AA16" s="42" t="s">
        <v>199</v>
      </c>
      <c r="AD16" s="42" t="s">
        <v>410</v>
      </c>
      <c r="AE16" s="42" t="s">
        <v>125</v>
      </c>
      <c r="AF16" s="42" t="s">
        <v>411</v>
      </c>
      <c r="AG16" s="42" t="s">
        <v>412</v>
      </c>
      <c r="AH16" s="42">
        <v>3580</v>
      </c>
      <c r="AI16" s="42" t="s">
        <v>128</v>
      </c>
      <c r="AJ16" s="42" t="s">
        <v>129</v>
      </c>
      <c r="AK16" s="42" t="s">
        <v>130</v>
      </c>
      <c r="AL16" s="42" t="s">
        <v>131</v>
      </c>
      <c r="AM16" s="42" t="s">
        <v>132</v>
      </c>
      <c r="AO16" s="42" t="s">
        <v>413</v>
      </c>
      <c r="AP16" s="42" t="s">
        <v>414</v>
      </c>
      <c r="AT16" s="42" t="s">
        <v>224</v>
      </c>
      <c r="AU16" s="42" t="s">
        <v>242</v>
      </c>
      <c r="AV16" s="44" t="s">
        <v>415</v>
      </c>
      <c r="AW16" s="42" t="s">
        <v>206</v>
      </c>
      <c r="AX16" s="42" t="s">
        <v>416</v>
      </c>
      <c r="AY16" s="42" t="s">
        <v>228</v>
      </c>
      <c r="BQ16" s="42" t="s">
        <v>417</v>
      </c>
      <c r="BR16" s="44" t="s">
        <v>418</v>
      </c>
      <c r="BS16" s="44" t="s">
        <v>419</v>
      </c>
      <c r="BT16" s="44" t="s">
        <v>120</v>
      </c>
      <c r="BU16" s="44" t="s">
        <v>420</v>
      </c>
      <c r="BV16" s="42" t="s">
        <v>120</v>
      </c>
      <c r="BW16" s="42" t="s">
        <v>120</v>
      </c>
      <c r="BX16" s="42" t="s">
        <v>421</v>
      </c>
      <c r="BY16" s="42" t="s">
        <v>171</v>
      </c>
      <c r="BZ16" s="44" t="s">
        <v>422</v>
      </c>
    </row>
    <row r="17" spans="1:109" s="42" customFormat="1" ht="18.75" customHeight="1">
      <c r="A17" s="42">
        <v>7</v>
      </c>
      <c r="B17" s="42" t="s">
        <v>110</v>
      </c>
      <c r="C17" s="64" t="s">
        <v>423</v>
      </c>
      <c r="D17" s="42" t="s">
        <v>424</v>
      </c>
      <c r="E17" s="42" t="s">
        <v>425</v>
      </c>
      <c r="F17" s="42" t="s">
        <v>426</v>
      </c>
      <c r="G17" s="42" t="s">
        <v>427</v>
      </c>
      <c r="H17" s="42">
        <v>11</v>
      </c>
      <c r="I17" s="42" t="s">
        <v>110</v>
      </c>
      <c r="J17" s="42">
        <v>4</v>
      </c>
      <c r="K17" s="52" t="s">
        <v>428</v>
      </c>
      <c r="L17" s="42">
        <v>2017</v>
      </c>
      <c r="M17" s="43" t="s">
        <v>429</v>
      </c>
      <c r="N17" s="42" t="s">
        <v>110</v>
      </c>
      <c r="O17" s="42" t="s">
        <v>110</v>
      </c>
      <c r="P17" s="42" t="s">
        <v>110</v>
      </c>
      <c r="Q17" s="42" t="s">
        <v>110</v>
      </c>
      <c r="R17" s="42" t="s">
        <v>110</v>
      </c>
      <c r="S17" s="42" t="s">
        <v>430</v>
      </c>
      <c r="T17" s="42" t="s">
        <v>110</v>
      </c>
      <c r="U17" s="42" t="s">
        <v>110</v>
      </c>
      <c r="V17" s="42" t="s">
        <v>431</v>
      </c>
      <c r="W17" s="44" t="s">
        <v>432</v>
      </c>
      <c r="X17" s="42" t="s">
        <v>273</v>
      </c>
      <c r="Y17" s="42" t="s">
        <v>120</v>
      </c>
      <c r="Z17" s="42" t="s">
        <v>154</v>
      </c>
    </row>
    <row r="18" spans="1:109" s="42" customFormat="1" ht="17.25" customHeight="1">
      <c r="A18" s="42">
        <v>7</v>
      </c>
      <c r="B18" s="42" t="s">
        <v>110</v>
      </c>
      <c r="C18" s="43" t="s">
        <v>433</v>
      </c>
      <c r="D18" s="42" t="s">
        <v>434</v>
      </c>
      <c r="E18" s="42" t="s">
        <v>435</v>
      </c>
      <c r="F18" s="42" t="s">
        <v>436</v>
      </c>
      <c r="G18" s="42" t="s">
        <v>437</v>
      </c>
      <c r="H18" s="42">
        <v>13</v>
      </c>
      <c r="I18" s="42" t="s">
        <v>110</v>
      </c>
      <c r="J18" s="42">
        <v>6</v>
      </c>
      <c r="K18" s="42" t="s">
        <v>438</v>
      </c>
      <c r="L18" s="42">
        <v>2017</v>
      </c>
      <c r="M18" s="43" t="s">
        <v>439</v>
      </c>
      <c r="N18" s="42" t="s">
        <v>110</v>
      </c>
      <c r="O18" s="42" t="s">
        <v>440</v>
      </c>
      <c r="P18" s="42" t="s">
        <v>110</v>
      </c>
      <c r="Q18" s="42" t="s">
        <v>110</v>
      </c>
      <c r="R18" s="42" t="s">
        <v>110</v>
      </c>
      <c r="S18" s="42" t="s">
        <v>110</v>
      </c>
      <c r="T18" s="42" t="s">
        <v>110</v>
      </c>
      <c r="U18" s="42" t="s">
        <v>110</v>
      </c>
      <c r="V18" s="44" t="s">
        <v>441</v>
      </c>
      <c r="W18" s="44" t="s">
        <v>442</v>
      </c>
    </row>
    <row r="19" spans="1:109" s="39" customFormat="1" ht="45.75">
      <c r="A19" s="39">
        <v>7</v>
      </c>
      <c r="B19" s="39" t="s">
        <v>110</v>
      </c>
      <c r="C19" s="5" t="s">
        <v>443</v>
      </c>
      <c r="D19" s="39" t="s">
        <v>444</v>
      </c>
      <c r="E19" s="39" t="s">
        <v>445</v>
      </c>
      <c r="F19" s="39" t="s">
        <v>446</v>
      </c>
      <c r="G19" s="39" t="s">
        <v>447</v>
      </c>
      <c r="H19" s="39">
        <v>114</v>
      </c>
      <c r="I19" s="39" t="s">
        <v>110</v>
      </c>
      <c r="J19" s="39">
        <v>4</v>
      </c>
      <c r="K19" s="39" t="s">
        <v>448</v>
      </c>
      <c r="L19" s="39">
        <v>2018</v>
      </c>
      <c r="M19" s="39" t="s">
        <v>449</v>
      </c>
      <c r="N19" s="39" t="s">
        <v>110</v>
      </c>
      <c r="O19" s="39" t="s">
        <v>110</v>
      </c>
      <c r="P19" s="39" t="s">
        <v>110</v>
      </c>
      <c r="Q19" s="39" t="s">
        <v>110</v>
      </c>
      <c r="R19" s="39" t="s">
        <v>110</v>
      </c>
      <c r="S19" s="39" t="s">
        <v>450</v>
      </c>
      <c r="T19" s="39" t="s">
        <v>110</v>
      </c>
      <c r="U19" s="39" t="s">
        <v>110</v>
      </c>
      <c r="V19" s="39" t="s">
        <v>451</v>
      </c>
      <c r="W19" s="39" t="s">
        <v>452</v>
      </c>
      <c r="X19" s="39" t="s">
        <v>119</v>
      </c>
      <c r="Y19" s="39" t="s">
        <v>120</v>
      </c>
      <c r="Z19" s="39" t="s">
        <v>121</v>
      </c>
      <c r="AA19" s="39" t="s">
        <v>313</v>
      </c>
      <c r="AB19" s="39" t="s">
        <v>120</v>
      </c>
      <c r="AC19" s="39" t="s">
        <v>120</v>
      </c>
      <c r="AD19" s="39" t="s">
        <v>453</v>
      </c>
      <c r="AE19" s="39" t="s">
        <v>125</v>
      </c>
      <c r="AF19" s="51">
        <v>66700</v>
      </c>
      <c r="AG19" s="51">
        <v>-756677</v>
      </c>
      <c r="AH19" s="39">
        <v>3200</v>
      </c>
      <c r="AI19" s="39" t="s">
        <v>128</v>
      </c>
      <c r="AJ19" s="39" t="s">
        <v>129</v>
      </c>
      <c r="AK19" s="39" t="s">
        <v>120</v>
      </c>
      <c r="AL19" s="39" t="s">
        <v>159</v>
      </c>
      <c r="AM19" s="39" t="s">
        <v>128</v>
      </c>
      <c r="AN19" s="39" t="s">
        <v>454</v>
      </c>
      <c r="AO19" s="39" t="s">
        <v>318</v>
      </c>
      <c r="AP19" s="39" t="s">
        <v>134</v>
      </c>
      <c r="AQ19" s="39" t="s">
        <v>120</v>
      </c>
      <c r="AR19" s="39" t="s">
        <v>120</v>
      </c>
      <c r="AS19" s="39" t="s">
        <v>120</v>
      </c>
      <c r="AT19" s="39" t="s">
        <v>135</v>
      </c>
      <c r="AU19" s="39" t="s">
        <v>242</v>
      </c>
      <c r="AV19" s="39" t="s">
        <v>455</v>
      </c>
      <c r="AW19" s="39" t="s">
        <v>227</v>
      </c>
      <c r="AX19" s="39">
        <v>9</v>
      </c>
      <c r="AY19" s="39" t="s">
        <v>456</v>
      </c>
      <c r="AZ19" s="39" t="s">
        <v>457</v>
      </c>
      <c r="BA19" s="39">
        <v>2015</v>
      </c>
      <c r="BB19" s="39" t="s">
        <v>120</v>
      </c>
      <c r="BC19" s="39" t="s">
        <v>120</v>
      </c>
      <c r="BD19" s="39" t="s">
        <v>120</v>
      </c>
      <c r="BE19" s="39" t="s">
        <v>120</v>
      </c>
      <c r="BF19" s="39" t="s">
        <v>120</v>
      </c>
      <c r="BG19" s="39" t="s">
        <v>120</v>
      </c>
      <c r="BH19" s="39" t="s">
        <v>120</v>
      </c>
      <c r="BI19" s="39" t="s">
        <v>120</v>
      </c>
      <c r="BJ19" s="39" t="s">
        <v>120</v>
      </c>
      <c r="BK19" s="39" t="s">
        <v>120</v>
      </c>
      <c r="BL19" s="39" t="s">
        <v>120</v>
      </c>
      <c r="BM19" s="39" t="s">
        <v>120</v>
      </c>
      <c r="BN19" s="39" t="s">
        <v>120</v>
      </c>
      <c r="BO19" s="39" t="s">
        <v>120</v>
      </c>
      <c r="BP19" s="39" t="s">
        <v>120</v>
      </c>
      <c r="BQ19" s="39" t="s">
        <v>120</v>
      </c>
      <c r="BR19" s="39" t="s">
        <v>120</v>
      </c>
      <c r="BS19" s="39" t="s">
        <v>120</v>
      </c>
      <c r="BT19" s="39" t="s">
        <v>120</v>
      </c>
      <c r="BU19" s="39" t="s">
        <v>120</v>
      </c>
      <c r="BV19" s="39" t="s">
        <v>320</v>
      </c>
      <c r="BW19" s="39" t="s">
        <v>458</v>
      </c>
      <c r="BX19" s="39" t="s">
        <v>120</v>
      </c>
      <c r="BY19" s="39" t="s">
        <v>120</v>
      </c>
      <c r="BZ19" s="39" t="s">
        <v>459</v>
      </c>
      <c r="CA19" s="39" t="s">
        <v>120</v>
      </c>
      <c r="CB19" s="39" t="s">
        <v>120</v>
      </c>
      <c r="CC19" s="39" t="s">
        <v>460</v>
      </c>
      <c r="CD19" s="39" t="s">
        <v>120</v>
      </c>
      <c r="CE19" s="39" t="s">
        <v>461</v>
      </c>
      <c r="CF19" s="39" t="s">
        <v>120</v>
      </c>
      <c r="CG19" s="39" t="s">
        <v>120</v>
      </c>
      <c r="CH19" s="39" t="s">
        <v>120</v>
      </c>
      <c r="CI19" s="39" t="s">
        <v>120</v>
      </c>
      <c r="CJ19" s="39" t="s">
        <v>120</v>
      </c>
      <c r="CK19" s="39" t="s">
        <v>120</v>
      </c>
      <c r="CL19" s="39" t="s">
        <v>120</v>
      </c>
      <c r="CM19" s="39" t="s">
        <v>120</v>
      </c>
      <c r="CN19" s="39" t="s">
        <v>120</v>
      </c>
      <c r="CO19" s="39" t="s">
        <v>120</v>
      </c>
      <c r="CP19" s="39" t="s">
        <v>120</v>
      </c>
      <c r="CQ19" s="39" t="s">
        <v>462</v>
      </c>
      <c r="CR19" s="39" t="s">
        <v>463</v>
      </c>
      <c r="CS19" s="51">
        <v>2348</v>
      </c>
      <c r="CT19" s="39" t="s">
        <v>120</v>
      </c>
      <c r="CU19" s="39" t="s">
        <v>464</v>
      </c>
      <c r="CV19" s="39" t="s">
        <v>465</v>
      </c>
      <c r="CW19" s="39">
        <v>30</v>
      </c>
      <c r="CX19" s="39" t="s">
        <v>466</v>
      </c>
      <c r="CY19" s="39" t="s">
        <v>120</v>
      </c>
      <c r="CZ19" s="70" t="s">
        <v>467</v>
      </c>
      <c r="DA19" s="39" t="s">
        <v>468</v>
      </c>
      <c r="DB19" s="39">
        <v>4</v>
      </c>
      <c r="DC19" s="39" t="s">
        <v>469</v>
      </c>
      <c r="DD19" s="39" t="s">
        <v>120</v>
      </c>
      <c r="DE19" s="39" t="s">
        <v>470</v>
      </c>
    </row>
    <row r="20" spans="1:109" s="42" customFormat="1" ht="17.25" customHeight="1">
      <c r="A20" s="42">
        <v>7</v>
      </c>
      <c r="B20" s="42" t="s">
        <v>110</v>
      </c>
      <c r="D20" s="42" t="s">
        <v>471</v>
      </c>
      <c r="E20" s="42" t="s">
        <v>472</v>
      </c>
      <c r="F20" s="42" t="s">
        <v>473</v>
      </c>
      <c r="G20" s="42" t="s">
        <v>180</v>
      </c>
      <c r="H20" s="42">
        <v>22</v>
      </c>
      <c r="I20" s="42" t="s">
        <v>110</v>
      </c>
      <c r="J20" s="42">
        <v>12</v>
      </c>
      <c r="K20" s="42" t="s">
        <v>474</v>
      </c>
      <c r="L20" s="42">
        <v>2018</v>
      </c>
      <c r="M20" s="43" t="s">
        <v>475</v>
      </c>
      <c r="N20" s="42" t="s">
        <v>110</v>
      </c>
      <c r="O20" s="42" t="s">
        <v>476</v>
      </c>
      <c r="P20" s="42" t="s">
        <v>110</v>
      </c>
      <c r="Q20" s="42" t="s">
        <v>110</v>
      </c>
      <c r="R20" s="42" t="s">
        <v>110</v>
      </c>
      <c r="S20" s="42" t="s">
        <v>477</v>
      </c>
      <c r="T20" s="42" t="s">
        <v>110</v>
      </c>
      <c r="U20" s="42" t="s">
        <v>110</v>
      </c>
      <c r="V20" s="42" t="s">
        <v>478</v>
      </c>
      <c r="W20" s="42" t="s">
        <v>110</v>
      </c>
      <c r="X20" s="42" t="s">
        <v>119</v>
      </c>
      <c r="Y20" s="42" t="s">
        <v>120</v>
      </c>
      <c r="Z20" s="42" t="s">
        <v>180</v>
      </c>
      <c r="AA20" s="44" t="s">
        <v>274</v>
      </c>
      <c r="AB20" s="42" t="s">
        <v>479</v>
      </c>
      <c r="AE20" s="44" t="s">
        <v>181</v>
      </c>
      <c r="AH20" s="42" t="s">
        <v>120</v>
      </c>
      <c r="AI20" s="42" t="s">
        <v>182</v>
      </c>
      <c r="AJ20" s="42" t="s">
        <v>183</v>
      </c>
      <c r="AK20" s="42" t="s">
        <v>184</v>
      </c>
      <c r="AL20" s="42" t="s">
        <v>131</v>
      </c>
      <c r="AM20" s="42" t="s">
        <v>186</v>
      </c>
      <c r="AO20" s="42" t="s">
        <v>480</v>
      </c>
      <c r="AP20" s="42" t="s">
        <v>481</v>
      </c>
      <c r="AQ20" s="42" t="s">
        <v>120</v>
      </c>
      <c r="AR20" s="42" t="s">
        <v>120</v>
      </c>
      <c r="AS20" s="42" t="s">
        <v>120</v>
      </c>
      <c r="AT20" s="42" t="s">
        <v>224</v>
      </c>
      <c r="AU20" s="42" t="s">
        <v>242</v>
      </c>
      <c r="AV20" s="42" t="s">
        <v>225</v>
      </c>
      <c r="AW20" s="42" t="s">
        <v>225</v>
      </c>
      <c r="AX20" s="42">
        <v>40</v>
      </c>
      <c r="AY20" s="42" t="s">
        <v>228</v>
      </c>
      <c r="BQ20" s="42" t="s">
        <v>301</v>
      </c>
      <c r="BR20" s="44" t="s">
        <v>482</v>
      </c>
      <c r="BS20" s="44" t="s">
        <v>483</v>
      </c>
      <c r="BT20" s="42" t="s">
        <v>120</v>
      </c>
      <c r="BU20" s="44" t="s">
        <v>484</v>
      </c>
      <c r="BV20" s="42" t="s">
        <v>120</v>
      </c>
      <c r="BW20" s="42" t="s">
        <v>120</v>
      </c>
      <c r="BX20" s="42" t="s">
        <v>264</v>
      </c>
      <c r="BY20" s="42" t="s">
        <v>171</v>
      </c>
      <c r="BZ20" s="42" t="s">
        <v>304</v>
      </c>
    </row>
    <row r="21" spans="1:109" s="42" customFormat="1" ht="17.25" customHeight="1">
      <c r="A21" s="42">
        <v>7</v>
      </c>
      <c r="B21" s="42" t="s">
        <v>110</v>
      </c>
      <c r="C21" s="66" t="s">
        <v>485</v>
      </c>
      <c r="D21" s="42" t="s">
        <v>486</v>
      </c>
      <c r="E21" s="42" t="s">
        <v>487</v>
      </c>
      <c r="F21" s="42" t="s">
        <v>488</v>
      </c>
      <c r="G21" s="42" t="s">
        <v>489</v>
      </c>
      <c r="H21" s="42">
        <v>179</v>
      </c>
      <c r="I21" s="42" t="s">
        <v>110</v>
      </c>
      <c r="J21" s="42">
        <v>8</v>
      </c>
      <c r="K21" s="42" t="s">
        <v>490</v>
      </c>
      <c r="L21" s="42">
        <v>2019</v>
      </c>
      <c r="M21" s="43" t="s">
        <v>491</v>
      </c>
      <c r="N21" s="42" t="s">
        <v>110</v>
      </c>
      <c r="O21" s="42" t="s">
        <v>110</v>
      </c>
      <c r="P21" s="42" t="s">
        <v>110</v>
      </c>
      <c r="Q21" s="42" t="s">
        <v>110</v>
      </c>
      <c r="R21" s="42" t="s">
        <v>110</v>
      </c>
      <c r="S21" s="42" t="s">
        <v>450</v>
      </c>
      <c r="T21" s="42" t="s">
        <v>110</v>
      </c>
      <c r="U21" s="42" t="s">
        <v>110</v>
      </c>
      <c r="V21" s="42" t="s">
        <v>492</v>
      </c>
      <c r="W21" s="42" t="s">
        <v>493</v>
      </c>
      <c r="X21" s="42" t="s">
        <v>119</v>
      </c>
      <c r="Y21" s="42" t="s">
        <v>120</v>
      </c>
      <c r="Z21" s="42" t="s">
        <v>218</v>
      </c>
      <c r="AA21" s="42" t="s">
        <v>313</v>
      </c>
      <c r="AB21" s="42" t="s">
        <v>494</v>
      </c>
      <c r="AE21" s="44" t="s">
        <v>181</v>
      </c>
      <c r="AH21" s="42">
        <v>143</v>
      </c>
      <c r="AI21" s="42" t="s">
        <v>495</v>
      </c>
      <c r="AJ21" s="42" t="s">
        <v>129</v>
      </c>
      <c r="AK21" s="42" t="s">
        <v>496</v>
      </c>
      <c r="AL21" s="42" t="s">
        <v>159</v>
      </c>
      <c r="AM21" s="42" t="s">
        <v>495</v>
      </c>
      <c r="AO21" s="42" t="s">
        <v>497</v>
      </c>
      <c r="AT21" s="42" t="s">
        <v>135</v>
      </c>
      <c r="AU21" s="42" t="s">
        <v>242</v>
      </c>
      <c r="AV21" s="42" t="s">
        <v>498</v>
      </c>
      <c r="AW21" s="42" t="s">
        <v>138</v>
      </c>
      <c r="AX21" s="42">
        <v>11</v>
      </c>
      <c r="AY21" s="42" t="s">
        <v>228</v>
      </c>
      <c r="BQ21" s="42" t="s">
        <v>301</v>
      </c>
      <c r="BR21" s="44" t="s">
        <v>499</v>
      </c>
      <c r="BS21" s="44" t="s">
        <v>499</v>
      </c>
      <c r="BT21" s="42" t="s">
        <v>500</v>
      </c>
      <c r="BU21" s="44" t="s">
        <v>501</v>
      </c>
      <c r="BV21" s="42" t="s">
        <v>120</v>
      </c>
      <c r="BW21" s="42" t="s">
        <v>120</v>
      </c>
      <c r="BX21" s="42" t="s">
        <v>502</v>
      </c>
      <c r="BY21" s="42" t="s">
        <v>171</v>
      </c>
      <c r="BZ21" s="42" t="s">
        <v>503</v>
      </c>
    </row>
    <row r="22" spans="1:109" s="42" customFormat="1" ht="13.5" customHeight="1">
      <c r="A22" s="42">
        <v>7</v>
      </c>
      <c r="B22" s="42" t="s">
        <v>110</v>
      </c>
      <c r="C22" s="43" t="s">
        <v>504</v>
      </c>
      <c r="D22" s="42" t="s">
        <v>505</v>
      </c>
      <c r="E22" s="42" t="s">
        <v>506</v>
      </c>
      <c r="F22" s="42" t="s">
        <v>507</v>
      </c>
      <c r="G22" s="42" t="s">
        <v>508</v>
      </c>
      <c r="H22" s="42">
        <v>654</v>
      </c>
      <c r="I22" s="42" t="s">
        <v>110</v>
      </c>
      <c r="J22" s="42">
        <v>3</v>
      </c>
      <c r="K22" s="42" t="s">
        <v>509</v>
      </c>
      <c r="L22" s="42">
        <v>2019</v>
      </c>
      <c r="M22" s="43" t="s">
        <v>510</v>
      </c>
      <c r="N22" s="42" t="s">
        <v>110</v>
      </c>
      <c r="O22" s="42" t="s">
        <v>110</v>
      </c>
      <c r="P22" s="42" t="s">
        <v>110</v>
      </c>
      <c r="Q22" s="42" t="s">
        <v>110</v>
      </c>
      <c r="R22" s="42" t="s">
        <v>110</v>
      </c>
      <c r="S22" s="42" t="s">
        <v>450</v>
      </c>
      <c r="T22" s="42" t="s">
        <v>110</v>
      </c>
      <c r="U22" s="42" t="s">
        <v>110</v>
      </c>
      <c r="V22" s="42" t="s">
        <v>511</v>
      </c>
      <c r="W22" s="42" t="s">
        <v>512</v>
      </c>
      <c r="X22" s="42" t="s">
        <v>119</v>
      </c>
      <c r="Y22" s="42" t="s">
        <v>120</v>
      </c>
      <c r="Z22" s="42" t="s">
        <v>218</v>
      </c>
      <c r="AA22" s="42" t="s">
        <v>313</v>
      </c>
      <c r="AD22" s="42" t="s">
        <v>513</v>
      </c>
      <c r="AE22" s="44" t="s">
        <v>125</v>
      </c>
      <c r="AF22" s="44" t="s">
        <v>514</v>
      </c>
      <c r="AG22" s="42" t="s">
        <v>515</v>
      </c>
      <c r="AH22" s="42">
        <v>3200</v>
      </c>
      <c r="AI22" s="42" t="s">
        <v>128</v>
      </c>
      <c r="AJ22" s="42" t="s">
        <v>129</v>
      </c>
      <c r="AK22" s="42" t="s">
        <v>130</v>
      </c>
      <c r="AL22" s="42" t="s">
        <v>131</v>
      </c>
      <c r="AM22" s="42" t="s">
        <v>132</v>
      </c>
      <c r="AO22" s="42" t="s">
        <v>318</v>
      </c>
      <c r="AQ22" s="42" t="s">
        <v>120</v>
      </c>
      <c r="AR22" s="42" t="s">
        <v>120</v>
      </c>
      <c r="AS22" s="42" t="s">
        <v>120</v>
      </c>
      <c r="AT22" s="42" t="s">
        <v>135</v>
      </c>
      <c r="AU22" s="42" t="s">
        <v>242</v>
      </c>
      <c r="AV22" s="42" t="s">
        <v>516</v>
      </c>
      <c r="AW22" s="42" t="s">
        <v>138</v>
      </c>
      <c r="AX22" s="42">
        <v>6</v>
      </c>
      <c r="AY22" s="42" t="s">
        <v>517</v>
      </c>
      <c r="AZ22" s="69">
        <v>42614</v>
      </c>
      <c r="BA22" s="69">
        <v>42957</v>
      </c>
      <c r="BU22" s="44" t="s">
        <v>518</v>
      </c>
      <c r="BV22" s="42" t="s">
        <v>120</v>
      </c>
      <c r="BW22" s="42" t="s">
        <v>120</v>
      </c>
      <c r="BX22" s="42" t="s">
        <v>519</v>
      </c>
      <c r="BY22" s="42" t="s">
        <v>171</v>
      </c>
      <c r="BZ22" s="44" t="s">
        <v>398</v>
      </c>
      <c r="CR22" s="42" t="s">
        <v>520</v>
      </c>
      <c r="CS22" s="44" t="s">
        <v>521</v>
      </c>
      <c r="CT22" s="44" t="s">
        <v>522</v>
      </c>
      <c r="CU22" s="44" t="s">
        <v>523</v>
      </c>
      <c r="CV22" s="44" t="s">
        <v>524</v>
      </c>
      <c r="CW22" s="42" t="s">
        <v>525</v>
      </c>
      <c r="CX22" s="42" t="s">
        <v>526</v>
      </c>
      <c r="CY22" s="42" t="s">
        <v>527</v>
      </c>
      <c r="CZ22" s="44" t="s">
        <v>528</v>
      </c>
      <c r="DA22" s="44" t="s">
        <v>529</v>
      </c>
    </row>
    <row r="23" spans="1:109" s="42" customFormat="1" ht="15.75" customHeight="1">
      <c r="A23" s="42">
        <v>7</v>
      </c>
      <c r="B23" s="42" t="s">
        <v>110</v>
      </c>
      <c r="C23" s="43" t="s">
        <v>530</v>
      </c>
      <c r="D23" s="42" t="s">
        <v>531</v>
      </c>
      <c r="E23" s="42" t="s">
        <v>532</v>
      </c>
      <c r="F23" s="42" t="s">
        <v>533</v>
      </c>
      <c r="G23" s="42" t="s">
        <v>534</v>
      </c>
      <c r="H23" s="42">
        <v>28</v>
      </c>
      <c r="I23" s="42" t="s">
        <v>110</v>
      </c>
      <c r="K23" s="42" t="s">
        <v>535</v>
      </c>
      <c r="L23" s="42">
        <v>2019</v>
      </c>
      <c r="M23" s="43" t="s">
        <v>536</v>
      </c>
      <c r="N23" s="42" t="s">
        <v>110</v>
      </c>
      <c r="O23" s="42" t="s">
        <v>110</v>
      </c>
      <c r="P23" s="42" t="s">
        <v>110</v>
      </c>
      <c r="Q23" s="42" t="s">
        <v>110</v>
      </c>
      <c r="R23" s="42" t="s">
        <v>110</v>
      </c>
      <c r="S23" s="42" t="s">
        <v>407</v>
      </c>
      <c r="T23" s="42" t="s">
        <v>110</v>
      </c>
      <c r="U23" s="42" t="s">
        <v>110</v>
      </c>
      <c r="V23" s="42" t="s">
        <v>537</v>
      </c>
      <c r="W23" s="42" t="s">
        <v>538</v>
      </c>
      <c r="X23" s="42" t="s">
        <v>119</v>
      </c>
      <c r="Y23" s="42" t="s">
        <v>120</v>
      </c>
      <c r="Z23" s="42" t="s">
        <v>218</v>
      </c>
      <c r="AA23" s="42" t="s">
        <v>219</v>
      </c>
      <c r="AB23" s="42" t="s">
        <v>539</v>
      </c>
      <c r="AC23" s="42" t="s">
        <v>540</v>
      </c>
      <c r="AD23" s="42" t="s">
        <v>541</v>
      </c>
      <c r="AE23" s="42" t="s">
        <v>125</v>
      </c>
      <c r="AF23" s="42" t="s">
        <v>542</v>
      </c>
      <c r="AG23" s="42" t="s">
        <v>543</v>
      </c>
      <c r="AH23" s="42">
        <v>3300</v>
      </c>
      <c r="AI23" s="42" t="s">
        <v>128</v>
      </c>
      <c r="AJ23" s="42" t="s">
        <v>129</v>
      </c>
      <c r="AK23" s="42" t="s">
        <v>130</v>
      </c>
      <c r="AL23" s="42" t="s">
        <v>131</v>
      </c>
      <c r="AM23" s="42" t="s">
        <v>132</v>
      </c>
      <c r="AO23" s="42" t="s">
        <v>318</v>
      </c>
      <c r="AT23" s="42" t="s">
        <v>135</v>
      </c>
      <c r="AU23" s="42" t="s">
        <v>544</v>
      </c>
      <c r="AV23" s="42" t="s">
        <v>545</v>
      </c>
      <c r="AW23" s="42" t="s">
        <v>138</v>
      </c>
      <c r="AX23" s="42">
        <v>48</v>
      </c>
      <c r="AY23" s="42" t="s">
        <v>228</v>
      </c>
      <c r="BQ23" s="42" t="s">
        <v>301</v>
      </c>
      <c r="BR23" s="44" t="s">
        <v>546</v>
      </c>
      <c r="BS23" s="44" t="s">
        <v>546</v>
      </c>
      <c r="BT23" s="44" t="s">
        <v>547</v>
      </c>
      <c r="BU23" s="44" t="s">
        <v>548</v>
      </c>
      <c r="BV23" s="42" t="s">
        <v>120</v>
      </c>
      <c r="BW23" s="42" t="s">
        <v>120</v>
      </c>
      <c r="BX23" s="42" t="s">
        <v>232</v>
      </c>
      <c r="BY23" s="42" t="s">
        <v>171</v>
      </c>
      <c r="BZ23" s="42" t="s">
        <v>304</v>
      </c>
    </row>
    <row r="24" spans="1:109" s="42" customFormat="1" ht="44.25" customHeight="1">
      <c r="A24" s="42">
        <v>7</v>
      </c>
      <c r="B24" s="42" t="s">
        <v>110</v>
      </c>
      <c r="C24" s="42" t="s">
        <v>549</v>
      </c>
      <c r="D24" s="42" t="s">
        <v>550</v>
      </c>
      <c r="E24" s="42" t="s">
        <v>551</v>
      </c>
      <c r="F24" s="42" t="s">
        <v>552</v>
      </c>
      <c r="G24" s="42" t="s">
        <v>553</v>
      </c>
      <c r="H24" s="42">
        <v>39</v>
      </c>
      <c r="I24" s="42" t="s">
        <v>110</v>
      </c>
      <c r="K24" s="42" t="s">
        <v>554</v>
      </c>
      <c r="L24" s="42">
        <v>2020</v>
      </c>
      <c r="M24" s="43" t="s">
        <v>555</v>
      </c>
      <c r="N24" s="42" t="s">
        <v>110</v>
      </c>
      <c r="O24" s="42" t="s">
        <v>110</v>
      </c>
      <c r="P24" s="42" t="s">
        <v>110</v>
      </c>
      <c r="Q24" s="42" t="s">
        <v>110</v>
      </c>
      <c r="R24" s="42" t="s">
        <v>110</v>
      </c>
      <c r="S24" s="42" t="s">
        <v>556</v>
      </c>
      <c r="T24" s="42" t="s">
        <v>110</v>
      </c>
      <c r="U24" s="42" t="s">
        <v>110</v>
      </c>
      <c r="V24" s="42" t="s">
        <v>557</v>
      </c>
      <c r="W24" s="42" t="s">
        <v>558</v>
      </c>
      <c r="X24" s="42" t="s">
        <v>119</v>
      </c>
      <c r="Y24" s="42" t="s">
        <v>120</v>
      </c>
      <c r="Z24" s="42" t="s">
        <v>218</v>
      </c>
      <c r="AA24" s="42" t="s">
        <v>199</v>
      </c>
      <c r="AB24" s="42" t="s">
        <v>559</v>
      </c>
      <c r="AD24" s="42" t="s">
        <v>560</v>
      </c>
      <c r="AE24" s="42" t="s">
        <v>125</v>
      </c>
      <c r="AF24" s="42" t="s">
        <v>561</v>
      </c>
      <c r="AG24" s="71" t="s">
        <v>562</v>
      </c>
      <c r="AH24" s="42">
        <v>2600</v>
      </c>
      <c r="AI24" s="42" t="s">
        <v>495</v>
      </c>
      <c r="AJ24" s="42" t="s">
        <v>129</v>
      </c>
      <c r="AK24" s="42" t="s">
        <v>130</v>
      </c>
      <c r="AL24" s="42" t="s">
        <v>159</v>
      </c>
      <c r="AM24" s="42" t="s">
        <v>495</v>
      </c>
      <c r="AO24" s="42" t="s">
        <v>187</v>
      </c>
      <c r="AP24" s="42" t="s">
        <v>563</v>
      </c>
      <c r="AT24" s="42" t="s">
        <v>135</v>
      </c>
      <c r="AU24" s="42" t="s">
        <v>225</v>
      </c>
      <c r="AV24" s="42" t="s">
        <v>225</v>
      </c>
      <c r="AW24" s="42" t="s">
        <v>227</v>
      </c>
      <c r="AX24" s="42">
        <v>3</v>
      </c>
      <c r="AY24" s="42" t="s">
        <v>564</v>
      </c>
      <c r="BQ24" s="42" t="s">
        <v>320</v>
      </c>
      <c r="BR24" s="42" t="s">
        <v>565</v>
      </c>
      <c r="BS24" s="42" t="s">
        <v>120</v>
      </c>
      <c r="BU24" s="44" t="s">
        <v>566</v>
      </c>
      <c r="BZ24" s="44" t="s">
        <v>567</v>
      </c>
      <c r="DB24" s="42" t="s">
        <v>568</v>
      </c>
      <c r="DC24" s="44" t="s">
        <v>569</v>
      </c>
    </row>
    <row r="25" spans="1:109" s="39" customFormat="1">
      <c r="A25" s="39">
        <v>7</v>
      </c>
      <c r="B25" s="39" t="s">
        <v>110</v>
      </c>
      <c r="C25" s="39" t="s">
        <v>570</v>
      </c>
      <c r="D25" s="39" t="s">
        <v>571</v>
      </c>
      <c r="E25" s="39" t="s">
        <v>572</v>
      </c>
      <c r="F25" s="39" t="s">
        <v>573</v>
      </c>
      <c r="G25" s="39" t="s">
        <v>180</v>
      </c>
      <c r="H25" s="39">
        <v>24</v>
      </c>
      <c r="I25" s="39" t="s">
        <v>110</v>
      </c>
      <c r="J25" s="39">
        <v>6</v>
      </c>
      <c r="K25" s="39" t="s">
        <v>574</v>
      </c>
      <c r="L25" s="39">
        <v>2020</v>
      </c>
      <c r="M25" s="39" t="s">
        <v>575</v>
      </c>
      <c r="N25" s="39" t="s">
        <v>110</v>
      </c>
      <c r="O25" s="39" t="s">
        <v>110</v>
      </c>
      <c r="P25" s="39" t="s">
        <v>110</v>
      </c>
      <c r="Q25" s="39" t="s">
        <v>110</v>
      </c>
      <c r="R25" s="39" t="s">
        <v>110</v>
      </c>
      <c r="S25" s="39" t="s">
        <v>477</v>
      </c>
      <c r="T25" s="39" t="s">
        <v>110</v>
      </c>
      <c r="U25" s="39" t="s">
        <v>110</v>
      </c>
      <c r="V25" s="39" t="s">
        <v>576</v>
      </c>
      <c r="W25" s="39" t="s">
        <v>110</v>
      </c>
      <c r="Y25" s="39" t="s">
        <v>120</v>
      </c>
      <c r="Z25" s="39" t="s">
        <v>154</v>
      </c>
      <c r="AA25" s="39" t="s">
        <v>577</v>
      </c>
      <c r="AB25" s="39" t="s">
        <v>578</v>
      </c>
      <c r="AC25" s="39" t="s">
        <v>579</v>
      </c>
      <c r="AE25" s="39" t="s">
        <v>255</v>
      </c>
      <c r="AI25" s="39" t="s">
        <v>580</v>
      </c>
      <c r="AJ25" s="73" t="s">
        <v>581</v>
      </c>
      <c r="AK25" s="39" t="s">
        <v>582</v>
      </c>
      <c r="AL25" s="39" t="s">
        <v>583</v>
      </c>
      <c r="AM25" s="39" t="s">
        <v>580</v>
      </c>
      <c r="AO25" s="39" t="s">
        <v>584</v>
      </c>
      <c r="AP25" s="39" t="s">
        <v>585</v>
      </c>
      <c r="AT25" s="39" t="s">
        <v>586</v>
      </c>
      <c r="AU25" s="39" t="s">
        <v>160</v>
      </c>
      <c r="AV25" s="39" t="s">
        <v>587</v>
      </c>
      <c r="AW25" s="39" t="s">
        <v>138</v>
      </c>
      <c r="AX25" s="39">
        <v>5</v>
      </c>
      <c r="AY25" s="39" t="s">
        <v>139</v>
      </c>
      <c r="BB25" s="39">
        <v>0.47</v>
      </c>
      <c r="BC25" s="39" t="s">
        <v>588</v>
      </c>
      <c r="BD25" s="39" t="s">
        <v>589</v>
      </c>
      <c r="BE25" s="4"/>
      <c r="BG25" s="39" t="s">
        <v>590</v>
      </c>
      <c r="BH25" s="39" t="s">
        <v>591</v>
      </c>
      <c r="BJ25" s="39" t="s">
        <v>588</v>
      </c>
      <c r="BK25" s="39" t="s">
        <v>592</v>
      </c>
      <c r="BO25" s="39" t="s">
        <v>593</v>
      </c>
      <c r="BU25" s="39" t="s">
        <v>594</v>
      </c>
      <c r="BV25" s="39" t="s">
        <v>595</v>
      </c>
      <c r="BX25" s="39" t="s">
        <v>595</v>
      </c>
      <c r="BY25" s="39" t="s">
        <v>596</v>
      </c>
      <c r="BZ25" s="39" t="s">
        <v>597</v>
      </c>
    </row>
    <row r="26" spans="1:109" s="73" customFormat="1" ht="28.5" customHeight="1">
      <c r="A26" s="73">
        <v>5</v>
      </c>
      <c r="B26" s="73" t="s">
        <v>598</v>
      </c>
      <c r="D26" s="73" t="s">
        <v>599</v>
      </c>
      <c r="E26" s="73" t="s">
        <v>600</v>
      </c>
      <c r="F26" s="74" t="s">
        <v>601</v>
      </c>
      <c r="G26" s="73" t="s">
        <v>110</v>
      </c>
      <c r="I26" s="73" t="s">
        <v>110</v>
      </c>
      <c r="K26" s="73" t="s">
        <v>602</v>
      </c>
      <c r="L26" s="73">
        <v>2020</v>
      </c>
      <c r="M26" s="73" t="s">
        <v>110</v>
      </c>
      <c r="N26" s="73" t="s">
        <v>110</v>
      </c>
      <c r="O26" s="73" t="s">
        <v>110</v>
      </c>
      <c r="P26" s="74" t="s">
        <v>603</v>
      </c>
      <c r="Q26" s="73" t="s">
        <v>604</v>
      </c>
      <c r="R26" s="73" t="s">
        <v>110</v>
      </c>
      <c r="S26" s="73" t="s">
        <v>605</v>
      </c>
      <c r="T26" s="73" t="s">
        <v>110</v>
      </c>
      <c r="U26" s="73" t="s">
        <v>110</v>
      </c>
      <c r="W26" s="73" t="s">
        <v>110</v>
      </c>
      <c r="X26" s="73" t="s">
        <v>119</v>
      </c>
      <c r="Y26" s="73" t="s">
        <v>120</v>
      </c>
      <c r="Z26" s="73" t="s">
        <v>218</v>
      </c>
      <c r="AA26" s="73" t="s">
        <v>219</v>
      </c>
      <c r="AB26" s="73" t="s">
        <v>606</v>
      </c>
      <c r="AD26" s="73" t="s">
        <v>607</v>
      </c>
      <c r="AE26" s="73" t="s">
        <v>125</v>
      </c>
      <c r="AF26" s="73" t="s">
        <v>608</v>
      </c>
      <c r="AG26" s="73" t="s">
        <v>609</v>
      </c>
      <c r="AH26" s="73" t="s">
        <v>610</v>
      </c>
      <c r="AI26" s="73" t="s">
        <v>128</v>
      </c>
      <c r="AJ26" s="73" t="s">
        <v>129</v>
      </c>
      <c r="AK26" s="73" t="s">
        <v>130</v>
      </c>
      <c r="AL26" s="73" t="s">
        <v>131</v>
      </c>
      <c r="AM26" s="73" t="s">
        <v>611</v>
      </c>
      <c r="AO26" s="73" t="s">
        <v>318</v>
      </c>
      <c r="AP26" s="73" t="s">
        <v>585</v>
      </c>
      <c r="AT26" s="73" t="s">
        <v>224</v>
      </c>
      <c r="AU26" s="74" t="s">
        <v>242</v>
      </c>
      <c r="AV26" s="73" t="s">
        <v>612</v>
      </c>
      <c r="AW26" s="73" t="s">
        <v>206</v>
      </c>
      <c r="AX26" s="73">
        <v>49</v>
      </c>
      <c r="AY26" s="73" t="s">
        <v>613</v>
      </c>
      <c r="BC26" s="73" t="s">
        <v>614</v>
      </c>
      <c r="BD26" s="73" t="s">
        <v>615</v>
      </c>
      <c r="BE26" s="73" t="s">
        <v>616</v>
      </c>
      <c r="BG26" s="73" t="s">
        <v>617</v>
      </c>
      <c r="BH26" s="73" t="s">
        <v>618</v>
      </c>
      <c r="BI26" s="73" t="s">
        <v>120</v>
      </c>
      <c r="BJ26" s="73" t="s">
        <v>301</v>
      </c>
      <c r="BK26" s="73" t="s">
        <v>619</v>
      </c>
      <c r="BL26" s="73" t="s">
        <v>619</v>
      </c>
      <c r="BO26" s="73" t="s">
        <v>620</v>
      </c>
      <c r="BP26" s="73" t="s">
        <v>621</v>
      </c>
    </row>
    <row r="27" spans="1:109" s="73" customFormat="1" ht="28.5" customHeight="1">
      <c r="A27" s="73">
        <v>5</v>
      </c>
      <c r="B27" s="73" t="s">
        <v>598</v>
      </c>
      <c r="D27" s="73" t="s">
        <v>599</v>
      </c>
      <c r="E27" s="73" t="s">
        <v>600</v>
      </c>
      <c r="F27" s="74" t="s">
        <v>622</v>
      </c>
      <c r="G27" s="73" t="s">
        <v>110</v>
      </c>
      <c r="I27" s="73" t="s">
        <v>110</v>
      </c>
      <c r="K27" s="73" t="s">
        <v>623</v>
      </c>
      <c r="L27" s="73">
        <v>2020</v>
      </c>
      <c r="M27" s="73" t="s">
        <v>110</v>
      </c>
      <c r="N27" s="73" t="s">
        <v>110</v>
      </c>
      <c r="O27" s="73" t="s">
        <v>110</v>
      </c>
      <c r="P27" s="74" t="s">
        <v>603</v>
      </c>
      <c r="Q27" s="73" t="s">
        <v>624</v>
      </c>
      <c r="R27" s="73" t="s">
        <v>110</v>
      </c>
      <c r="S27" s="73" t="s">
        <v>605</v>
      </c>
      <c r="T27" s="73" t="s">
        <v>110</v>
      </c>
      <c r="U27" s="73" t="s">
        <v>110</v>
      </c>
      <c r="W27" s="73" t="s">
        <v>110</v>
      </c>
      <c r="X27" s="73" t="s">
        <v>119</v>
      </c>
      <c r="Y27" s="73" t="s">
        <v>120</v>
      </c>
      <c r="Z27" s="73" t="s">
        <v>218</v>
      </c>
      <c r="AA27" s="73" t="s">
        <v>219</v>
      </c>
      <c r="AB27" s="73" t="s">
        <v>606</v>
      </c>
      <c r="AD27" s="73" t="s">
        <v>607</v>
      </c>
      <c r="AE27" s="74" t="s">
        <v>181</v>
      </c>
      <c r="AI27" s="73" t="s">
        <v>128</v>
      </c>
      <c r="AJ27" s="73" t="s">
        <v>129</v>
      </c>
      <c r="AK27" s="73" t="s">
        <v>130</v>
      </c>
      <c r="AL27" s="73" t="s">
        <v>131</v>
      </c>
      <c r="AM27" s="73" t="s">
        <v>611</v>
      </c>
      <c r="AO27" s="73" t="s">
        <v>318</v>
      </c>
      <c r="AP27" s="73" t="s">
        <v>585</v>
      </c>
      <c r="AT27" s="73" t="s">
        <v>224</v>
      </c>
      <c r="AU27" s="74" t="s">
        <v>242</v>
      </c>
      <c r="AV27" s="73" t="s">
        <v>612</v>
      </c>
      <c r="AW27" s="73" t="s">
        <v>206</v>
      </c>
      <c r="AX27" s="73">
        <v>49</v>
      </c>
      <c r="AY27" s="73" t="s">
        <v>228</v>
      </c>
      <c r="BQ27" s="73" t="s">
        <v>301</v>
      </c>
      <c r="BR27" s="74" t="s">
        <v>625</v>
      </c>
      <c r="BS27" s="74" t="s">
        <v>625</v>
      </c>
      <c r="BT27" s="75" t="s">
        <v>626</v>
      </c>
      <c r="BU27" s="74" t="s">
        <v>627</v>
      </c>
      <c r="BX27" s="73" t="s">
        <v>264</v>
      </c>
      <c r="BY27" s="73" t="s">
        <v>171</v>
      </c>
      <c r="BZ27" s="74" t="s">
        <v>628</v>
      </c>
    </row>
    <row r="28" spans="1:109" s="73" customFormat="1" ht="21" customHeight="1">
      <c r="A28" s="73">
        <v>7</v>
      </c>
      <c r="B28" s="76"/>
      <c r="D28" s="73" t="s">
        <v>629</v>
      </c>
      <c r="E28" s="73" t="s">
        <v>630</v>
      </c>
      <c r="F28" s="73" t="s">
        <v>631</v>
      </c>
      <c r="G28" s="73" t="s">
        <v>632</v>
      </c>
      <c r="H28" s="73">
        <v>29</v>
      </c>
      <c r="I28" s="73" t="s">
        <v>110</v>
      </c>
      <c r="J28" s="73">
        <v>4</v>
      </c>
      <c r="K28" s="73" t="s">
        <v>110</v>
      </c>
      <c r="L28" s="73">
        <v>2020</v>
      </c>
      <c r="M28" s="76" t="s">
        <v>633</v>
      </c>
      <c r="N28" s="73" t="s">
        <v>110</v>
      </c>
      <c r="O28" s="73" t="s">
        <v>110</v>
      </c>
      <c r="P28" s="73" t="s">
        <v>110</v>
      </c>
      <c r="Q28" s="73" t="s">
        <v>110</v>
      </c>
      <c r="R28" s="73" t="s">
        <v>110</v>
      </c>
      <c r="S28" s="73" t="s">
        <v>634</v>
      </c>
      <c r="T28" s="73" t="s">
        <v>110</v>
      </c>
      <c r="U28" s="73" t="s">
        <v>110</v>
      </c>
      <c r="V28" s="73" t="s">
        <v>635</v>
      </c>
      <c r="W28" s="73" t="s">
        <v>636</v>
      </c>
      <c r="X28" s="73" t="s">
        <v>273</v>
      </c>
      <c r="Y28" s="73" t="s">
        <v>120</v>
      </c>
      <c r="Z28" s="73" t="s">
        <v>218</v>
      </c>
      <c r="AD28" s="74" t="s">
        <v>637</v>
      </c>
      <c r="AE28" s="74" t="s">
        <v>181</v>
      </c>
      <c r="AI28" s="73" t="s">
        <v>128</v>
      </c>
      <c r="AJ28" s="73" t="s">
        <v>129</v>
      </c>
      <c r="AK28" s="73" t="s">
        <v>130</v>
      </c>
      <c r="AL28" s="73" t="s">
        <v>131</v>
      </c>
      <c r="AM28" s="73" t="s">
        <v>611</v>
      </c>
      <c r="AO28" s="73" t="s">
        <v>584</v>
      </c>
      <c r="AP28" s="73" t="s">
        <v>134</v>
      </c>
      <c r="AT28" s="73" t="s">
        <v>135</v>
      </c>
      <c r="AU28" s="73" t="s">
        <v>189</v>
      </c>
      <c r="AV28" s="73" t="s">
        <v>225</v>
      </c>
      <c r="AW28" s="73" t="s">
        <v>225</v>
      </c>
      <c r="AX28" s="73">
        <v>390</v>
      </c>
      <c r="AY28" s="73" t="s">
        <v>228</v>
      </c>
      <c r="BQ28" s="73" t="s">
        <v>301</v>
      </c>
      <c r="BR28" s="73" t="s">
        <v>638</v>
      </c>
      <c r="BS28" s="73" t="s">
        <v>638</v>
      </c>
      <c r="BT28" s="74" t="s">
        <v>639</v>
      </c>
      <c r="BU28" s="74" t="s">
        <v>640</v>
      </c>
      <c r="BX28" s="73" t="s">
        <v>641</v>
      </c>
      <c r="BY28" s="73" t="s">
        <v>171</v>
      </c>
    </row>
    <row r="29" spans="1:109" s="77" customFormat="1">
      <c r="A29" s="77">
        <v>13</v>
      </c>
      <c r="B29" s="77" t="s">
        <v>110</v>
      </c>
      <c r="D29" s="77" t="s">
        <v>642</v>
      </c>
      <c r="E29" s="77" t="s">
        <v>643</v>
      </c>
      <c r="F29" s="77" t="s">
        <v>644</v>
      </c>
      <c r="G29" s="77" t="s">
        <v>110</v>
      </c>
      <c r="I29" s="77" t="s">
        <v>110</v>
      </c>
      <c r="K29" s="77" t="s">
        <v>110</v>
      </c>
      <c r="L29" s="77">
        <v>2021</v>
      </c>
      <c r="M29" s="77" t="s">
        <v>110</v>
      </c>
      <c r="N29" s="77" t="s">
        <v>110</v>
      </c>
      <c r="O29" s="77" t="s">
        <v>110</v>
      </c>
      <c r="P29" s="77" t="s">
        <v>110</v>
      </c>
      <c r="Q29" s="77" t="s">
        <v>110</v>
      </c>
      <c r="R29" s="77" t="s">
        <v>110</v>
      </c>
      <c r="S29" s="77" t="s">
        <v>110</v>
      </c>
      <c r="T29" s="77" t="s">
        <v>110</v>
      </c>
      <c r="U29" s="77" t="s">
        <v>110</v>
      </c>
      <c r="V29" s="77" t="s">
        <v>110</v>
      </c>
      <c r="W29" s="77" t="s">
        <v>110</v>
      </c>
    </row>
    <row r="30" spans="1:109" s="73" customFormat="1" ht="12.75" customHeight="1">
      <c r="A30" s="73">
        <v>7</v>
      </c>
      <c r="B30" s="73" t="s">
        <v>110</v>
      </c>
      <c r="C30" s="73" t="s">
        <v>645</v>
      </c>
      <c r="D30" s="73" t="s">
        <v>646</v>
      </c>
      <c r="E30" s="73" t="s">
        <v>647</v>
      </c>
      <c r="F30" s="73" t="s">
        <v>648</v>
      </c>
      <c r="G30" s="73" t="s">
        <v>649</v>
      </c>
      <c r="H30" s="73">
        <v>69</v>
      </c>
      <c r="I30" s="73" t="s">
        <v>110</v>
      </c>
      <c r="J30" s="73">
        <v>1</v>
      </c>
      <c r="K30" s="73" t="s">
        <v>110</v>
      </c>
      <c r="L30" s="73">
        <v>2021</v>
      </c>
      <c r="M30" s="76" t="s">
        <v>650</v>
      </c>
      <c r="N30" s="73" t="s">
        <v>110</v>
      </c>
      <c r="O30" s="73" t="s">
        <v>651</v>
      </c>
      <c r="P30" s="73" t="s">
        <v>110</v>
      </c>
      <c r="Q30" s="73" t="s">
        <v>110</v>
      </c>
      <c r="R30" s="73" t="s">
        <v>110</v>
      </c>
      <c r="S30" s="73" t="s">
        <v>110</v>
      </c>
      <c r="T30" s="73" t="s">
        <v>110</v>
      </c>
      <c r="U30" s="73" t="s">
        <v>110</v>
      </c>
      <c r="V30" s="74" t="s">
        <v>652</v>
      </c>
      <c r="W30" s="74" t="s">
        <v>653</v>
      </c>
      <c r="X30" s="73" t="s">
        <v>119</v>
      </c>
      <c r="Y30" s="73" t="s">
        <v>120</v>
      </c>
      <c r="Z30" s="73" t="s">
        <v>180</v>
      </c>
      <c r="AA30" s="73" t="s">
        <v>274</v>
      </c>
      <c r="AB30" s="73" t="s">
        <v>654</v>
      </c>
      <c r="AE30" s="74" t="s">
        <v>181</v>
      </c>
      <c r="AI30" s="73" t="s">
        <v>182</v>
      </c>
      <c r="AJ30" s="73" t="s">
        <v>183</v>
      </c>
      <c r="AK30" s="73" t="s">
        <v>184</v>
      </c>
      <c r="AL30" s="73" t="s">
        <v>131</v>
      </c>
      <c r="AM30" s="73" t="s">
        <v>186</v>
      </c>
      <c r="AO30" s="73" t="s">
        <v>480</v>
      </c>
      <c r="AP30" s="73" t="s">
        <v>481</v>
      </c>
      <c r="AT30" s="73" t="s">
        <v>135</v>
      </c>
      <c r="AU30" s="73" t="s">
        <v>242</v>
      </c>
      <c r="AV30" s="73" t="s">
        <v>655</v>
      </c>
      <c r="AW30" s="73" t="s">
        <v>656</v>
      </c>
      <c r="AX30" s="73">
        <v>44</v>
      </c>
      <c r="AY30" s="74" t="s">
        <v>657</v>
      </c>
      <c r="BC30" s="73" t="s">
        <v>614</v>
      </c>
      <c r="BD30" s="74" t="s">
        <v>658</v>
      </c>
      <c r="BE30" s="74" t="s">
        <v>658</v>
      </c>
      <c r="BF30" s="73" t="s">
        <v>659</v>
      </c>
      <c r="BG30" s="74" t="s">
        <v>660</v>
      </c>
      <c r="BI30" s="73" t="s">
        <v>661</v>
      </c>
      <c r="BQ30" s="73" t="s">
        <v>301</v>
      </c>
      <c r="BR30" s="73" t="s">
        <v>662</v>
      </c>
      <c r="BS30" s="73" t="s">
        <v>662</v>
      </c>
      <c r="BT30" s="74" t="s">
        <v>663</v>
      </c>
      <c r="BU30" s="74" t="s">
        <v>664</v>
      </c>
      <c r="BV30" s="73" t="s">
        <v>665</v>
      </c>
      <c r="BW30" s="73" t="s">
        <v>666</v>
      </c>
      <c r="BX30" s="73" t="s">
        <v>345</v>
      </c>
      <c r="BY30" s="73" t="s">
        <v>171</v>
      </c>
      <c r="BZ30" s="74" t="s">
        <v>628</v>
      </c>
    </row>
    <row r="31" spans="1:109" s="73" customFormat="1" ht="15" customHeight="1">
      <c r="A31" s="73">
        <v>7</v>
      </c>
      <c r="B31" s="73" t="s">
        <v>110</v>
      </c>
      <c r="C31" s="76" t="s">
        <v>667</v>
      </c>
      <c r="D31" s="73" t="s">
        <v>668</v>
      </c>
      <c r="E31" s="73" t="s">
        <v>669</v>
      </c>
      <c r="F31" s="73" t="s">
        <v>670</v>
      </c>
      <c r="G31" s="73" t="s">
        <v>671</v>
      </c>
      <c r="H31" s="73">
        <v>384</v>
      </c>
      <c r="I31" s="73" t="s">
        <v>110</v>
      </c>
      <c r="J31" s="73">
        <v>2</v>
      </c>
      <c r="K31" s="73" t="s">
        <v>110</v>
      </c>
      <c r="L31" s="73">
        <v>2021</v>
      </c>
      <c r="M31" s="76" t="s">
        <v>672</v>
      </c>
      <c r="N31" s="73" t="s">
        <v>110</v>
      </c>
      <c r="O31" s="73" t="s">
        <v>110</v>
      </c>
      <c r="P31" s="73" t="s">
        <v>110</v>
      </c>
      <c r="Q31" s="73" t="s">
        <v>110</v>
      </c>
      <c r="R31" s="73" t="s">
        <v>110</v>
      </c>
      <c r="S31" s="73" t="s">
        <v>450</v>
      </c>
      <c r="T31" s="73" t="s">
        <v>110</v>
      </c>
      <c r="U31" s="73" t="s">
        <v>110</v>
      </c>
      <c r="V31" s="73" t="s">
        <v>673</v>
      </c>
      <c r="W31" s="73" t="s">
        <v>674</v>
      </c>
      <c r="X31" s="73" t="s">
        <v>119</v>
      </c>
      <c r="Y31" s="73" t="s">
        <v>120</v>
      </c>
      <c r="Z31" s="73" t="s">
        <v>675</v>
      </c>
      <c r="AA31" s="73" t="s">
        <v>676</v>
      </c>
      <c r="AB31" s="73" t="s">
        <v>677</v>
      </c>
      <c r="AD31" s="74" t="s">
        <v>678</v>
      </c>
      <c r="AE31" s="73" t="s">
        <v>125</v>
      </c>
      <c r="AF31" s="73" t="s">
        <v>679</v>
      </c>
      <c r="AG31" s="73" t="s">
        <v>680</v>
      </c>
      <c r="AI31" s="73" t="s">
        <v>681</v>
      </c>
      <c r="AJ31" s="73" t="s">
        <v>581</v>
      </c>
      <c r="AK31" s="73" t="s">
        <v>682</v>
      </c>
      <c r="AL31" s="73" t="s">
        <v>683</v>
      </c>
      <c r="AM31" s="73" t="s">
        <v>684</v>
      </c>
      <c r="AO31" s="73" t="s">
        <v>187</v>
      </c>
      <c r="AP31" s="73" t="s">
        <v>414</v>
      </c>
      <c r="AT31" s="73" t="s">
        <v>135</v>
      </c>
      <c r="AU31" s="73" t="s">
        <v>242</v>
      </c>
      <c r="AV31" s="73" t="s">
        <v>276</v>
      </c>
      <c r="AW31" s="73" t="s">
        <v>138</v>
      </c>
      <c r="AX31" s="73">
        <v>4</v>
      </c>
      <c r="AY31" s="73" t="s">
        <v>228</v>
      </c>
      <c r="BQ31" s="73" t="s">
        <v>685</v>
      </c>
      <c r="BR31" s="74" t="s">
        <v>686</v>
      </c>
      <c r="BS31" s="74" t="s">
        <v>686</v>
      </c>
      <c r="BT31" s="73" t="s">
        <v>687</v>
      </c>
      <c r="BU31" s="74" t="s">
        <v>688</v>
      </c>
      <c r="BX31" s="73" t="s">
        <v>689</v>
      </c>
      <c r="BZ31" s="74" t="s">
        <v>690</v>
      </c>
    </row>
    <row r="32" spans="1:109" s="73" customFormat="1" ht="18" customHeight="1">
      <c r="A32" s="73">
        <v>7</v>
      </c>
      <c r="B32" s="73" t="s">
        <v>110</v>
      </c>
      <c r="C32" s="76" t="s">
        <v>691</v>
      </c>
      <c r="D32" s="73" t="s">
        <v>692</v>
      </c>
      <c r="E32" s="73" t="s">
        <v>693</v>
      </c>
      <c r="F32" s="73" t="s">
        <v>694</v>
      </c>
      <c r="G32" s="73" t="s">
        <v>695</v>
      </c>
      <c r="H32" s="73">
        <v>38</v>
      </c>
      <c r="I32" s="73" t="s">
        <v>110</v>
      </c>
      <c r="J32" s="73">
        <v>9</v>
      </c>
      <c r="K32" s="73" t="s">
        <v>696</v>
      </c>
      <c r="L32" s="73">
        <v>2021</v>
      </c>
      <c r="M32" s="76" t="s">
        <v>697</v>
      </c>
      <c r="N32" s="73" t="s">
        <v>110</v>
      </c>
      <c r="O32" s="73" t="s">
        <v>110</v>
      </c>
      <c r="P32" s="73" t="s">
        <v>110</v>
      </c>
      <c r="Q32" s="73" t="s">
        <v>110</v>
      </c>
      <c r="R32" s="73" t="s">
        <v>110</v>
      </c>
      <c r="S32" s="73" t="s">
        <v>698</v>
      </c>
      <c r="T32" s="73" t="s">
        <v>110</v>
      </c>
      <c r="U32" s="73" t="s">
        <v>110</v>
      </c>
      <c r="V32" s="73" t="s">
        <v>699</v>
      </c>
      <c r="W32" s="74" t="s">
        <v>700</v>
      </c>
      <c r="X32" s="73" t="s">
        <v>119</v>
      </c>
      <c r="Y32" s="73" t="s">
        <v>120</v>
      </c>
      <c r="Z32" s="73" t="s">
        <v>675</v>
      </c>
      <c r="AA32" s="73" t="s">
        <v>701</v>
      </c>
      <c r="AB32" s="73" t="s">
        <v>702</v>
      </c>
      <c r="AD32" s="74" t="s">
        <v>703</v>
      </c>
      <c r="AE32" s="73" t="s">
        <v>125</v>
      </c>
      <c r="AF32" s="73" t="s">
        <v>704</v>
      </c>
      <c r="AG32" s="73" t="s">
        <v>705</v>
      </c>
      <c r="AH32" s="73" t="s">
        <v>706</v>
      </c>
      <c r="AI32" s="73" t="s">
        <v>707</v>
      </c>
      <c r="AJ32" s="73" t="s">
        <v>581</v>
      </c>
      <c r="AK32" s="73" t="s">
        <v>682</v>
      </c>
      <c r="AL32" s="73" t="s">
        <v>683</v>
      </c>
      <c r="AM32" s="73" t="s">
        <v>684</v>
      </c>
      <c r="AO32" s="73" t="s">
        <v>187</v>
      </c>
      <c r="AP32" s="73" t="s">
        <v>414</v>
      </c>
      <c r="AT32" s="73" t="s">
        <v>135</v>
      </c>
      <c r="AU32" s="73" t="s">
        <v>242</v>
      </c>
      <c r="AV32" s="73" t="s">
        <v>708</v>
      </c>
      <c r="AW32" s="73" t="s">
        <v>138</v>
      </c>
      <c r="AX32" s="73">
        <v>174</v>
      </c>
      <c r="AY32" s="73" t="s">
        <v>191</v>
      </c>
      <c r="BB32" s="73">
        <v>0.47</v>
      </c>
      <c r="BC32" s="73" t="s">
        <v>709</v>
      </c>
      <c r="BD32" s="73" t="s">
        <v>710</v>
      </c>
      <c r="BE32" s="73" t="s">
        <v>710</v>
      </c>
      <c r="BF32" s="73" t="s">
        <v>711</v>
      </c>
      <c r="BG32" s="73" t="s">
        <v>712</v>
      </c>
      <c r="BH32" s="73">
        <v>174</v>
      </c>
      <c r="BI32" s="73" t="s">
        <v>713</v>
      </c>
      <c r="CR32" s="73" t="s">
        <v>714</v>
      </c>
      <c r="CS32" s="73" t="s">
        <v>715</v>
      </c>
      <c r="CV32" s="74" t="s">
        <v>716</v>
      </c>
    </row>
    <row r="33" spans="1:110" s="73" customFormat="1">
      <c r="A33" s="73">
        <v>7</v>
      </c>
      <c r="B33" s="73" t="s">
        <v>110</v>
      </c>
      <c r="C33" s="73" t="s">
        <v>717</v>
      </c>
      <c r="D33" s="73" t="s">
        <v>718</v>
      </c>
      <c r="E33" s="73" t="s">
        <v>719</v>
      </c>
      <c r="F33" s="73" t="s">
        <v>720</v>
      </c>
      <c r="G33" s="73" t="s">
        <v>721</v>
      </c>
      <c r="H33" s="73">
        <v>9</v>
      </c>
      <c r="I33" s="73" t="s">
        <v>110</v>
      </c>
      <c r="J33" s="73">
        <v>6</v>
      </c>
      <c r="K33" s="73" t="s">
        <v>110</v>
      </c>
      <c r="L33" s="73">
        <v>2021</v>
      </c>
      <c r="M33" s="76" t="s">
        <v>722</v>
      </c>
      <c r="N33" s="73" t="s">
        <v>110</v>
      </c>
      <c r="O33" s="73" t="s">
        <v>110</v>
      </c>
      <c r="P33" s="73" t="s">
        <v>110</v>
      </c>
      <c r="Q33" s="73" t="s">
        <v>110</v>
      </c>
      <c r="R33" s="73" t="s">
        <v>110</v>
      </c>
      <c r="S33" s="73" t="s">
        <v>723</v>
      </c>
      <c r="T33" s="73" t="s">
        <v>110</v>
      </c>
      <c r="U33" s="73" t="s">
        <v>110</v>
      </c>
      <c r="V33" s="73" t="s">
        <v>724</v>
      </c>
      <c r="W33" s="73" t="s">
        <v>725</v>
      </c>
      <c r="X33" s="73" t="s">
        <v>119</v>
      </c>
      <c r="Y33" s="73" t="s">
        <v>120</v>
      </c>
      <c r="Z33" s="73" t="s">
        <v>180</v>
      </c>
      <c r="AA33" s="73" t="s">
        <v>274</v>
      </c>
      <c r="AB33" s="73" t="s">
        <v>726</v>
      </c>
      <c r="AD33" s="73" t="s">
        <v>727</v>
      </c>
      <c r="AE33" s="73" t="s">
        <v>125</v>
      </c>
      <c r="AF33" s="73" t="s">
        <v>728</v>
      </c>
      <c r="AG33" s="73" t="s">
        <v>729</v>
      </c>
      <c r="AH33" s="73">
        <v>173</v>
      </c>
      <c r="AI33" s="73" t="s">
        <v>182</v>
      </c>
      <c r="AJ33" s="73" t="s">
        <v>183</v>
      </c>
      <c r="AK33" s="73" t="s">
        <v>184</v>
      </c>
      <c r="AL33" s="73" t="s">
        <v>131</v>
      </c>
      <c r="AM33" s="73" t="s">
        <v>186</v>
      </c>
      <c r="AO33" s="73" t="s">
        <v>133</v>
      </c>
      <c r="AT33" s="73" t="s">
        <v>135</v>
      </c>
      <c r="AU33" s="74" t="s">
        <v>730</v>
      </c>
      <c r="AV33" s="73" t="s">
        <v>225</v>
      </c>
      <c r="AW33" s="73" t="s">
        <v>225</v>
      </c>
      <c r="AX33" s="73">
        <v>1</v>
      </c>
      <c r="AY33" s="73" t="s">
        <v>731</v>
      </c>
      <c r="AZ33" s="78">
        <v>42358</v>
      </c>
      <c r="BA33" s="78">
        <v>43083</v>
      </c>
    </row>
    <row r="34" spans="1:110" s="73" customFormat="1" ht="17.25" customHeight="1">
      <c r="A34" s="73">
        <v>7</v>
      </c>
      <c r="B34" s="73" t="s">
        <v>110</v>
      </c>
      <c r="C34" s="76" t="s">
        <v>732</v>
      </c>
      <c r="D34" s="73" t="s">
        <v>733</v>
      </c>
      <c r="E34" s="73" t="s">
        <v>734</v>
      </c>
      <c r="F34" s="73" t="s">
        <v>735</v>
      </c>
      <c r="G34" s="73" t="s">
        <v>736</v>
      </c>
      <c r="H34" s="73">
        <v>251</v>
      </c>
      <c r="I34" s="73" t="s">
        <v>110</v>
      </c>
      <c r="J34" s="73">
        <v>1</v>
      </c>
      <c r="K34" s="73" t="s">
        <v>110</v>
      </c>
      <c r="L34" s="73">
        <v>2021</v>
      </c>
      <c r="M34" s="76" t="s">
        <v>737</v>
      </c>
      <c r="N34" s="73" t="s">
        <v>110</v>
      </c>
      <c r="O34" s="73" t="s">
        <v>110</v>
      </c>
      <c r="P34" s="73" t="s">
        <v>110</v>
      </c>
      <c r="Q34" s="73" t="s">
        <v>110</v>
      </c>
      <c r="R34" s="73" t="s">
        <v>110</v>
      </c>
      <c r="S34" s="73" t="s">
        <v>738</v>
      </c>
      <c r="T34" s="73" t="s">
        <v>110</v>
      </c>
      <c r="U34" s="73" t="s">
        <v>110</v>
      </c>
      <c r="V34" s="73" t="s">
        <v>739</v>
      </c>
      <c r="W34" s="73" t="s">
        <v>740</v>
      </c>
      <c r="X34" s="73" t="s">
        <v>119</v>
      </c>
      <c r="Y34" s="73" t="s">
        <v>119</v>
      </c>
      <c r="Z34" s="73" t="s">
        <v>218</v>
      </c>
      <c r="AA34" s="73" t="s">
        <v>219</v>
      </c>
      <c r="AB34" s="73" t="s">
        <v>741</v>
      </c>
      <c r="AD34" s="74" t="s">
        <v>742</v>
      </c>
      <c r="AE34" s="74" t="s">
        <v>125</v>
      </c>
      <c r="AF34" s="73" t="s">
        <v>743</v>
      </c>
      <c r="AG34" s="73" t="s">
        <v>744</v>
      </c>
      <c r="AH34" s="73">
        <v>4197</v>
      </c>
      <c r="AI34" s="73" t="s">
        <v>128</v>
      </c>
      <c r="AJ34" s="73" t="s">
        <v>129</v>
      </c>
      <c r="AK34" s="73" t="s">
        <v>130</v>
      </c>
      <c r="AL34" s="73" t="s">
        <v>131</v>
      </c>
      <c r="AM34" s="73" t="s">
        <v>132</v>
      </c>
      <c r="AO34" s="73" t="s">
        <v>318</v>
      </c>
      <c r="AT34" s="73" t="s">
        <v>135</v>
      </c>
      <c r="AU34" s="73" t="s">
        <v>225</v>
      </c>
      <c r="AV34" s="73" t="s">
        <v>225</v>
      </c>
      <c r="AW34" s="74" t="s">
        <v>730</v>
      </c>
      <c r="AX34" s="73">
        <v>6</v>
      </c>
      <c r="AY34" s="73" t="s">
        <v>228</v>
      </c>
      <c r="AZ34" s="78">
        <v>43113</v>
      </c>
      <c r="BA34" s="78">
        <v>43162</v>
      </c>
      <c r="BQ34" s="73" t="s">
        <v>745</v>
      </c>
      <c r="BR34" s="73" t="s">
        <v>746</v>
      </c>
      <c r="BU34" s="74" t="s">
        <v>747</v>
      </c>
      <c r="BX34" s="73" t="s">
        <v>748</v>
      </c>
      <c r="BY34" s="73" t="s">
        <v>171</v>
      </c>
      <c r="BZ34" s="74" t="s">
        <v>749</v>
      </c>
    </row>
    <row r="35" spans="1:110" s="73" customFormat="1" ht="17.25" customHeight="1">
      <c r="A35" s="73">
        <v>7</v>
      </c>
      <c r="B35" s="73" t="s">
        <v>110</v>
      </c>
      <c r="C35" s="76" t="s">
        <v>750</v>
      </c>
      <c r="D35" s="73" t="s">
        <v>751</v>
      </c>
      <c r="E35" s="73" t="s">
        <v>752</v>
      </c>
      <c r="F35" s="73" t="s">
        <v>753</v>
      </c>
      <c r="G35" s="73" t="s">
        <v>405</v>
      </c>
      <c r="H35" s="73">
        <v>71</v>
      </c>
      <c r="I35" s="73" t="s">
        <v>110</v>
      </c>
      <c r="K35" s="73" t="s">
        <v>110</v>
      </c>
      <c r="L35" s="73">
        <v>2022</v>
      </c>
      <c r="M35" s="76" t="s">
        <v>754</v>
      </c>
      <c r="N35" s="73" t="s">
        <v>110</v>
      </c>
      <c r="O35" s="73" t="s">
        <v>110</v>
      </c>
      <c r="P35" s="73" t="s">
        <v>110</v>
      </c>
      <c r="Q35" s="73" t="s">
        <v>110</v>
      </c>
      <c r="R35" s="73" t="s">
        <v>110</v>
      </c>
      <c r="S35" s="73" t="s">
        <v>407</v>
      </c>
      <c r="T35" s="73" t="s">
        <v>110</v>
      </c>
      <c r="U35" s="73" t="s">
        <v>110</v>
      </c>
      <c r="V35" s="73" t="s">
        <v>755</v>
      </c>
      <c r="W35" s="73" t="s">
        <v>756</v>
      </c>
      <c r="X35" s="73" t="s">
        <v>119</v>
      </c>
      <c r="Y35" s="73" t="s">
        <v>120</v>
      </c>
      <c r="Z35" s="73" t="s">
        <v>218</v>
      </c>
      <c r="AA35" s="73" t="s">
        <v>199</v>
      </c>
      <c r="AB35" s="73" t="s">
        <v>757</v>
      </c>
      <c r="AC35" s="74" t="s">
        <v>758</v>
      </c>
      <c r="AE35" s="73" t="s">
        <v>125</v>
      </c>
      <c r="AF35" s="74" t="s">
        <v>759</v>
      </c>
      <c r="AG35" s="73" t="s">
        <v>760</v>
      </c>
      <c r="AH35" s="73">
        <v>3500</v>
      </c>
      <c r="AI35" s="73" t="s">
        <v>128</v>
      </c>
      <c r="AJ35" s="73" t="s">
        <v>129</v>
      </c>
      <c r="AK35" s="73" t="s">
        <v>130</v>
      </c>
      <c r="AL35" s="73" t="s">
        <v>131</v>
      </c>
      <c r="AM35" s="73" t="s">
        <v>128</v>
      </c>
      <c r="AO35" s="73" t="s">
        <v>299</v>
      </c>
      <c r="AP35" s="73" t="s">
        <v>414</v>
      </c>
      <c r="AT35" s="73" t="s">
        <v>224</v>
      </c>
      <c r="AU35" s="73" t="s">
        <v>242</v>
      </c>
      <c r="AV35" s="73" t="s">
        <v>761</v>
      </c>
      <c r="AW35" s="73" t="s">
        <v>138</v>
      </c>
      <c r="AX35" s="73">
        <v>6</v>
      </c>
      <c r="AY35" s="73" t="s">
        <v>228</v>
      </c>
      <c r="BQ35" s="73" t="s">
        <v>320</v>
      </c>
      <c r="BR35" s="73" t="s">
        <v>762</v>
      </c>
      <c r="BS35" s="74" t="s">
        <v>763</v>
      </c>
      <c r="BU35" s="74" t="s">
        <v>764</v>
      </c>
      <c r="BX35" s="73" t="s">
        <v>765</v>
      </c>
      <c r="BY35" s="73" t="s">
        <v>171</v>
      </c>
      <c r="BZ35" s="74" t="s">
        <v>766</v>
      </c>
    </row>
    <row r="36" spans="1:110" s="73" customFormat="1" ht="17.25" customHeight="1">
      <c r="A36" s="73">
        <v>7</v>
      </c>
      <c r="B36" s="73" t="s">
        <v>110</v>
      </c>
      <c r="C36" s="76" t="s">
        <v>767</v>
      </c>
      <c r="D36" s="73" t="s">
        <v>768</v>
      </c>
      <c r="E36" s="73" t="s">
        <v>769</v>
      </c>
      <c r="F36" s="73" t="s">
        <v>770</v>
      </c>
      <c r="G36" s="73" t="s">
        <v>771</v>
      </c>
      <c r="H36" s="73">
        <v>14</v>
      </c>
      <c r="I36" s="73" t="s">
        <v>110</v>
      </c>
      <c r="J36" s="73">
        <v>12</v>
      </c>
      <c r="K36" s="73" t="s">
        <v>110</v>
      </c>
      <c r="L36" s="73">
        <v>2022</v>
      </c>
      <c r="M36" s="76" t="s">
        <v>772</v>
      </c>
      <c r="N36" s="73" t="s">
        <v>110</v>
      </c>
      <c r="O36" s="73" t="s">
        <v>110</v>
      </c>
      <c r="P36" s="73" t="s">
        <v>110</v>
      </c>
      <c r="Q36" s="73" t="s">
        <v>110</v>
      </c>
      <c r="R36" s="73" t="s">
        <v>110</v>
      </c>
      <c r="S36" s="73" t="s">
        <v>773</v>
      </c>
      <c r="T36" s="73" t="s">
        <v>110</v>
      </c>
      <c r="U36" s="73" t="s">
        <v>110</v>
      </c>
      <c r="V36" s="73" t="s">
        <v>774</v>
      </c>
      <c r="W36" s="74" t="s">
        <v>775</v>
      </c>
      <c r="X36" s="73" t="s">
        <v>119</v>
      </c>
      <c r="Y36" s="73" t="s">
        <v>120</v>
      </c>
      <c r="Z36" s="73" t="s">
        <v>180</v>
      </c>
      <c r="AA36" s="74" t="s">
        <v>274</v>
      </c>
      <c r="AB36" s="73" t="s">
        <v>776</v>
      </c>
      <c r="AD36" s="73" t="s">
        <v>777</v>
      </c>
      <c r="AE36" s="73" t="s">
        <v>125</v>
      </c>
      <c r="AF36" s="73" t="s">
        <v>778</v>
      </c>
      <c r="AG36" s="73" t="s">
        <v>779</v>
      </c>
      <c r="AI36" s="73" t="s">
        <v>182</v>
      </c>
      <c r="AJ36" s="73" t="s">
        <v>183</v>
      </c>
      <c r="AK36" s="73" t="s">
        <v>184</v>
      </c>
      <c r="AL36" s="73" t="s">
        <v>131</v>
      </c>
      <c r="AM36" s="73" t="s">
        <v>186</v>
      </c>
      <c r="AO36" s="73" t="s">
        <v>780</v>
      </c>
      <c r="AP36" s="73" t="s">
        <v>223</v>
      </c>
      <c r="AT36" s="73" t="s">
        <v>224</v>
      </c>
      <c r="AU36" s="73" t="s">
        <v>136</v>
      </c>
      <c r="AV36" s="73" t="s">
        <v>781</v>
      </c>
      <c r="AW36" s="73" t="s">
        <v>206</v>
      </c>
      <c r="AX36" s="73">
        <v>6</v>
      </c>
      <c r="AY36" s="74" t="s">
        <v>782</v>
      </c>
      <c r="BC36" s="73" t="s">
        <v>709</v>
      </c>
      <c r="BD36" s="73">
        <v>86.6</v>
      </c>
      <c r="BE36" s="73">
        <v>86.6</v>
      </c>
      <c r="BF36" s="74" t="s">
        <v>783</v>
      </c>
      <c r="BG36" s="74" t="s">
        <v>784</v>
      </c>
      <c r="BH36" s="73">
        <v>6</v>
      </c>
      <c r="BI36" s="74" t="s">
        <v>785</v>
      </c>
      <c r="BQ36" s="73" t="s">
        <v>685</v>
      </c>
      <c r="BR36" s="73" t="s">
        <v>786</v>
      </c>
      <c r="BS36" s="73" t="s">
        <v>786</v>
      </c>
      <c r="BT36" s="74" t="s">
        <v>787</v>
      </c>
      <c r="BU36" s="74" t="s">
        <v>788</v>
      </c>
      <c r="BX36" s="73" t="s">
        <v>789</v>
      </c>
      <c r="BY36" s="73" t="s">
        <v>171</v>
      </c>
      <c r="BZ36" s="73" t="s">
        <v>790</v>
      </c>
      <c r="CA36" s="79" t="s">
        <v>709</v>
      </c>
      <c r="CB36" s="73">
        <v>35</v>
      </c>
      <c r="CC36" s="73">
        <v>35</v>
      </c>
      <c r="CD36" s="73" t="s">
        <v>791</v>
      </c>
      <c r="CE36" s="73">
        <v>16.8</v>
      </c>
      <c r="CI36" s="73">
        <v>10.4</v>
      </c>
      <c r="CM36" s="74" t="s">
        <v>792</v>
      </c>
      <c r="CN36" s="74" t="s">
        <v>793</v>
      </c>
    </row>
    <row r="37" spans="1:110" s="73" customFormat="1" ht="16.5" customHeight="1">
      <c r="A37" s="73">
        <v>7</v>
      </c>
      <c r="B37" s="73" t="s">
        <v>110</v>
      </c>
      <c r="C37" s="76" t="s">
        <v>794</v>
      </c>
      <c r="D37" s="73" t="s">
        <v>795</v>
      </c>
      <c r="E37" s="73" t="s">
        <v>796</v>
      </c>
      <c r="F37" s="73" t="s">
        <v>797</v>
      </c>
      <c r="G37" s="73" t="s">
        <v>798</v>
      </c>
      <c r="H37" s="73">
        <v>25</v>
      </c>
      <c r="I37" s="73" t="s">
        <v>110</v>
      </c>
      <c r="J37" s="73">
        <v>7</v>
      </c>
      <c r="K37" s="73" t="s">
        <v>110</v>
      </c>
      <c r="L37" s="73">
        <v>2022</v>
      </c>
      <c r="M37" s="76" t="s">
        <v>799</v>
      </c>
      <c r="N37" s="73" t="s">
        <v>110</v>
      </c>
      <c r="O37" s="73" t="s">
        <v>110</v>
      </c>
      <c r="P37" s="73" t="s">
        <v>110</v>
      </c>
      <c r="Q37" s="73" t="s">
        <v>110</v>
      </c>
      <c r="R37" s="73" t="s">
        <v>110</v>
      </c>
      <c r="S37" s="73" t="s">
        <v>800</v>
      </c>
      <c r="T37" s="73" t="s">
        <v>110</v>
      </c>
      <c r="U37" s="73" t="s">
        <v>110</v>
      </c>
      <c r="V37" s="73" t="s">
        <v>801</v>
      </c>
      <c r="W37" s="73" t="s">
        <v>802</v>
      </c>
      <c r="X37" s="73" t="s">
        <v>119</v>
      </c>
      <c r="Y37" s="73" t="s">
        <v>120</v>
      </c>
      <c r="Z37" s="73" t="s">
        <v>218</v>
      </c>
      <c r="AA37" s="73" t="s">
        <v>219</v>
      </c>
      <c r="AD37" s="73" t="s">
        <v>296</v>
      </c>
      <c r="AE37" s="74" t="s">
        <v>181</v>
      </c>
      <c r="AH37" s="73">
        <v>3500</v>
      </c>
      <c r="AI37" s="73" t="s">
        <v>128</v>
      </c>
      <c r="AJ37" s="73" t="s">
        <v>129</v>
      </c>
      <c r="AK37" s="73" t="s">
        <v>130</v>
      </c>
      <c r="AL37" s="73" t="s">
        <v>131</v>
      </c>
      <c r="AM37" s="73" t="s">
        <v>132</v>
      </c>
      <c r="AO37" s="73" t="s">
        <v>299</v>
      </c>
      <c r="AP37" s="73" t="s">
        <v>414</v>
      </c>
      <c r="AT37" s="73" t="s">
        <v>224</v>
      </c>
      <c r="AU37" s="73" t="s">
        <v>242</v>
      </c>
      <c r="AV37" s="73" t="s">
        <v>803</v>
      </c>
      <c r="AW37" s="73" t="s">
        <v>138</v>
      </c>
      <c r="AX37" s="73">
        <v>3</v>
      </c>
      <c r="AY37" s="73" t="s">
        <v>228</v>
      </c>
      <c r="AZ37" s="73">
        <v>2013</v>
      </c>
      <c r="BA37" s="73">
        <v>2020</v>
      </c>
      <c r="BQ37" s="73" t="s">
        <v>685</v>
      </c>
      <c r="BR37" s="74" t="s">
        <v>804</v>
      </c>
      <c r="BS37" s="74" t="s">
        <v>804</v>
      </c>
      <c r="BU37" s="74" t="s">
        <v>805</v>
      </c>
      <c r="BX37" s="73" t="s">
        <v>232</v>
      </c>
      <c r="BY37" s="73" t="s">
        <v>171</v>
      </c>
      <c r="BZ37" s="73" t="s">
        <v>806</v>
      </c>
    </row>
    <row r="38" spans="1:110" s="73" customFormat="1" ht="15.75" customHeight="1">
      <c r="A38" s="73">
        <v>10</v>
      </c>
      <c r="B38" s="73" t="s">
        <v>110</v>
      </c>
      <c r="C38" s="76" t="s">
        <v>807</v>
      </c>
      <c r="D38" s="73" t="s">
        <v>808</v>
      </c>
      <c r="E38" s="73" t="s">
        <v>809</v>
      </c>
      <c r="F38" s="73" t="s">
        <v>810</v>
      </c>
      <c r="G38" s="73" t="s">
        <v>811</v>
      </c>
      <c r="H38" s="73">
        <v>22</v>
      </c>
      <c r="I38" s="73" t="s">
        <v>110</v>
      </c>
      <c r="J38" s="73">
        <v>12</v>
      </c>
      <c r="K38" s="73" t="s">
        <v>110</v>
      </c>
      <c r="L38" s="73">
        <v>2022</v>
      </c>
      <c r="M38" s="76" t="s">
        <v>812</v>
      </c>
      <c r="N38" s="73" t="s">
        <v>110</v>
      </c>
      <c r="O38" s="73" t="s">
        <v>110</v>
      </c>
      <c r="P38" s="73" t="s">
        <v>110</v>
      </c>
      <c r="Q38" s="73" t="s">
        <v>110</v>
      </c>
      <c r="R38" s="73" t="s">
        <v>110</v>
      </c>
      <c r="S38" s="73" t="s">
        <v>813</v>
      </c>
      <c r="T38" s="73" t="s">
        <v>110</v>
      </c>
      <c r="U38" s="73" t="s">
        <v>110</v>
      </c>
      <c r="V38" s="73" t="s">
        <v>814</v>
      </c>
      <c r="W38" s="73" t="s">
        <v>815</v>
      </c>
      <c r="X38" s="73" t="s">
        <v>273</v>
      </c>
      <c r="Y38" s="73" t="s">
        <v>120</v>
      </c>
      <c r="Z38" s="73" t="s">
        <v>218</v>
      </c>
      <c r="AD38" s="73" t="s">
        <v>816</v>
      </c>
      <c r="AE38" s="73" t="s">
        <v>817</v>
      </c>
      <c r="AH38" s="73">
        <v>3000</v>
      </c>
      <c r="AT38" s="73" t="s">
        <v>135</v>
      </c>
      <c r="AU38" s="73" t="s">
        <v>818</v>
      </c>
      <c r="AV38" s="73" t="s">
        <v>818</v>
      </c>
      <c r="AX38" s="73">
        <v>57</v>
      </c>
      <c r="AY38" s="73" t="s">
        <v>228</v>
      </c>
      <c r="BQ38" s="73" t="s">
        <v>819</v>
      </c>
      <c r="BR38" s="73" t="s">
        <v>820</v>
      </c>
      <c r="BU38" s="74" t="s">
        <v>821</v>
      </c>
    </row>
    <row r="39" spans="1:110" s="73" customFormat="1" ht="15" customHeight="1">
      <c r="A39" s="73">
        <v>7</v>
      </c>
      <c r="B39" s="73" t="s">
        <v>110</v>
      </c>
      <c r="D39" s="73" t="s">
        <v>822</v>
      </c>
      <c r="E39" s="73" t="s">
        <v>823</v>
      </c>
      <c r="F39" s="73" t="s">
        <v>824</v>
      </c>
      <c r="G39" s="73" t="s">
        <v>825</v>
      </c>
      <c r="H39" s="73">
        <v>12</v>
      </c>
      <c r="I39" s="73" t="s">
        <v>110</v>
      </c>
      <c r="K39" s="73" t="s">
        <v>826</v>
      </c>
      <c r="L39" s="73">
        <v>2022</v>
      </c>
      <c r="M39" s="76" t="s">
        <v>827</v>
      </c>
      <c r="N39" s="73" t="s">
        <v>110</v>
      </c>
      <c r="O39" s="73" t="s">
        <v>110</v>
      </c>
      <c r="P39" s="73" t="s">
        <v>110</v>
      </c>
      <c r="Q39" s="73" t="s">
        <v>110</v>
      </c>
      <c r="R39" s="73" t="s">
        <v>110</v>
      </c>
      <c r="S39" s="73" t="s">
        <v>110</v>
      </c>
      <c r="T39" s="73" t="s">
        <v>110</v>
      </c>
      <c r="U39" s="73" t="s">
        <v>110</v>
      </c>
      <c r="V39" s="73" t="s">
        <v>828</v>
      </c>
      <c r="W39" s="73" t="s">
        <v>829</v>
      </c>
      <c r="X39" s="73" t="s">
        <v>119</v>
      </c>
      <c r="Y39" s="73" t="s">
        <v>120</v>
      </c>
      <c r="Z39" s="73" t="s">
        <v>218</v>
      </c>
      <c r="AA39" s="73" t="s">
        <v>199</v>
      </c>
      <c r="AB39" s="73" t="s">
        <v>830</v>
      </c>
      <c r="AD39" s="73" t="s">
        <v>831</v>
      </c>
      <c r="AE39" s="74" t="s">
        <v>181</v>
      </c>
      <c r="AH39" s="73">
        <v>2690</v>
      </c>
      <c r="AO39" s="73" t="s">
        <v>187</v>
      </c>
      <c r="AP39" s="73" t="s">
        <v>223</v>
      </c>
      <c r="AT39" s="73" t="s">
        <v>135</v>
      </c>
      <c r="AU39" s="73" t="s">
        <v>242</v>
      </c>
      <c r="AV39" s="73" t="s">
        <v>832</v>
      </c>
      <c r="AW39" s="73" t="s">
        <v>138</v>
      </c>
      <c r="AX39" s="73">
        <v>4</v>
      </c>
      <c r="AY39" s="73" t="s">
        <v>191</v>
      </c>
      <c r="BB39" s="73" t="s">
        <v>833</v>
      </c>
      <c r="BC39" s="73" t="s">
        <v>834</v>
      </c>
      <c r="BD39" s="74" t="s">
        <v>835</v>
      </c>
      <c r="BF39" s="73" t="s">
        <v>836</v>
      </c>
      <c r="BG39" s="74" t="s">
        <v>837</v>
      </c>
      <c r="BH39" s="73">
        <f>21+15+30+30</f>
        <v>96</v>
      </c>
      <c r="BI39" s="73" t="s">
        <v>838</v>
      </c>
    </row>
    <row r="40" spans="1:110" s="39" customFormat="1">
      <c r="A40" s="39">
        <v>7</v>
      </c>
      <c r="B40" s="39" t="s">
        <v>110</v>
      </c>
      <c r="C40" s="39" t="s">
        <v>839</v>
      </c>
      <c r="D40" s="39" t="s">
        <v>840</v>
      </c>
      <c r="E40" s="39" t="s">
        <v>841</v>
      </c>
      <c r="F40" s="39" t="s">
        <v>842</v>
      </c>
      <c r="G40" s="39" t="s">
        <v>148</v>
      </c>
      <c r="H40" s="39">
        <v>224</v>
      </c>
      <c r="I40" s="39" t="s">
        <v>110</v>
      </c>
      <c r="J40" s="39">
        <v>12</v>
      </c>
      <c r="K40" s="39" t="s">
        <v>843</v>
      </c>
      <c r="L40" s="39">
        <v>2023</v>
      </c>
      <c r="M40" s="39" t="s">
        <v>844</v>
      </c>
      <c r="N40" s="39" t="s">
        <v>110</v>
      </c>
      <c r="O40" s="39" t="s">
        <v>110</v>
      </c>
      <c r="P40" s="39" t="s">
        <v>110</v>
      </c>
      <c r="Q40" s="39" t="s">
        <v>110</v>
      </c>
      <c r="R40" s="39" t="s">
        <v>110</v>
      </c>
      <c r="S40" s="39" t="s">
        <v>845</v>
      </c>
      <c r="T40" s="39" t="s">
        <v>110</v>
      </c>
      <c r="U40" s="39" t="s">
        <v>110</v>
      </c>
      <c r="V40" s="39" t="s">
        <v>846</v>
      </c>
      <c r="W40" s="39" t="s">
        <v>847</v>
      </c>
      <c r="Y40" s="39" t="s">
        <v>848</v>
      </c>
      <c r="Z40" s="39" t="s">
        <v>218</v>
      </c>
      <c r="AA40" s="39" t="s">
        <v>219</v>
      </c>
      <c r="AB40" s="39" t="s">
        <v>849</v>
      </c>
      <c r="AC40" s="39" t="s">
        <v>850</v>
      </c>
      <c r="AD40" s="39" t="s">
        <v>851</v>
      </c>
      <c r="AE40" s="39" t="s">
        <v>125</v>
      </c>
      <c r="AF40" s="39" t="s">
        <v>852</v>
      </c>
      <c r="AG40" s="39" t="s">
        <v>853</v>
      </c>
      <c r="AH40" s="39">
        <v>4200</v>
      </c>
      <c r="AI40" s="39" t="s">
        <v>854</v>
      </c>
      <c r="AJ40" s="39" t="s">
        <v>855</v>
      </c>
      <c r="AK40" s="39" t="s">
        <v>856</v>
      </c>
      <c r="AL40" s="39" t="s">
        <v>159</v>
      </c>
      <c r="AM40" s="39" t="s">
        <v>857</v>
      </c>
      <c r="AN40" s="39" t="s">
        <v>858</v>
      </c>
      <c r="AO40" s="39" t="s">
        <v>133</v>
      </c>
      <c r="AP40" s="39" t="s">
        <v>223</v>
      </c>
      <c r="AQ40" s="39">
        <v>20</v>
      </c>
      <c r="AS40" s="39" t="s">
        <v>859</v>
      </c>
      <c r="AT40" s="39" t="s">
        <v>586</v>
      </c>
      <c r="AU40" s="39" t="s">
        <v>160</v>
      </c>
      <c r="AV40" s="39" t="s">
        <v>860</v>
      </c>
      <c r="AW40" s="39" t="s">
        <v>861</v>
      </c>
      <c r="AX40" s="39">
        <v>5</v>
      </c>
      <c r="AY40" s="39" t="s">
        <v>731</v>
      </c>
      <c r="AZ40" s="39">
        <v>2019</v>
      </c>
      <c r="BA40" s="39" t="s">
        <v>862</v>
      </c>
      <c r="BC40" s="40"/>
      <c r="BD40" s="41"/>
      <c r="BE40" s="4"/>
      <c r="CC40" s="6"/>
      <c r="CR40" s="39" t="s">
        <v>863</v>
      </c>
      <c r="CS40" s="39" t="s">
        <v>864</v>
      </c>
      <c r="CU40" s="39" t="s">
        <v>865</v>
      </c>
      <c r="CV40" s="39" t="s">
        <v>866</v>
      </c>
    </row>
    <row r="41" spans="1:110" s="39" customFormat="1">
      <c r="A41" s="39">
        <v>7</v>
      </c>
      <c r="B41" s="39" t="s">
        <v>110</v>
      </c>
      <c r="C41" s="5" t="s">
        <v>867</v>
      </c>
      <c r="D41" s="39" t="s">
        <v>868</v>
      </c>
      <c r="E41" s="39" t="s">
        <v>869</v>
      </c>
      <c r="F41" s="39" t="s">
        <v>870</v>
      </c>
      <c r="G41" s="39" t="s">
        <v>871</v>
      </c>
      <c r="H41" s="39">
        <v>12</v>
      </c>
      <c r="I41" s="39" t="s">
        <v>110</v>
      </c>
      <c r="J41" s="39">
        <v>6</v>
      </c>
      <c r="K41" s="39" t="s">
        <v>110</v>
      </c>
      <c r="L41" s="39">
        <v>2023</v>
      </c>
      <c r="M41" s="39" t="s">
        <v>872</v>
      </c>
      <c r="N41" s="39" t="s">
        <v>110</v>
      </c>
      <c r="O41" s="39" t="s">
        <v>110</v>
      </c>
      <c r="P41" s="39" t="s">
        <v>110</v>
      </c>
      <c r="Q41" s="39" t="s">
        <v>110</v>
      </c>
      <c r="R41" s="39" t="s">
        <v>110</v>
      </c>
      <c r="S41" s="39" t="s">
        <v>450</v>
      </c>
      <c r="T41" s="39" t="s">
        <v>110</v>
      </c>
      <c r="U41" s="39" t="s">
        <v>110</v>
      </c>
      <c r="V41" s="39" t="s">
        <v>873</v>
      </c>
      <c r="W41" s="39" t="s">
        <v>874</v>
      </c>
    </row>
    <row r="42" spans="1:110" s="73" customFormat="1" ht="13.5" customHeight="1">
      <c r="A42" s="73">
        <v>7</v>
      </c>
      <c r="B42" s="73" t="s">
        <v>110</v>
      </c>
      <c r="C42" s="80" t="s">
        <v>875</v>
      </c>
      <c r="D42" s="73" t="s">
        <v>876</v>
      </c>
      <c r="E42" s="73" t="s">
        <v>877</v>
      </c>
      <c r="F42" s="73" t="s">
        <v>878</v>
      </c>
      <c r="G42" s="73" t="s">
        <v>879</v>
      </c>
      <c r="H42" s="73">
        <v>12</v>
      </c>
      <c r="I42" s="73" t="s">
        <v>110</v>
      </c>
      <c r="J42" s="73">
        <v>2</v>
      </c>
      <c r="K42" s="73" t="s">
        <v>110</v>
      </c>
      <c r="L42" s="73">
        <v>2023</v>
      </c>
      <c r="M42" s="80" t="s">
        <v>880</v>
      </c>
      <c r="N42" s="73" t="s">
        <v>110</v>
      </c>
      <c r="O42" s="73" t="s">
        <v>110</v>
      </c>
      <c r="P42" s="73" t="s">
        <v>110</v>
      </c>
      <c r="Q42" s="73" t="s">
        <v>110</v>
      </c>
      <c r="R42" s="73" t="s">
        <v>110</v>
      </c>
      <c r="S42" s="73" t="s">
        <v>881</v>
      </c>
      <c r="T42" s="73" t="s">
        <v>110</v>
      </c>
      <c r="U42" s="73" t="s">
        <v>110</v>
      </c>
      <c r="V42" s="73" t="s">
        <v>882</v>
      </c>
      <c r="W42" s="73" t="s">
        <v>883</v>
      </c>
      <c r="X42" s="73" t="s">
        <v>119</v>
      </c>
      <c r="Y42" s="73" t="s">
        <v>884</v>
      </c>
      <c r="Z42" s="73" t="s">
        <v>121</v>
      </c>
      <c r="AB42" s="73" t="s">
        <v>120</v>
      </c>
      <c r="AC42" s="73" t="s">
        <v>120</v>
      </c>
      <c r="AD42" s="73" t="s">
        <v>885</v>
      </c>
      <c r="AE42" s="74" t="s">
        <v>181</v>
      </c>
      <c r="AF42" s="73" t="s">
        <v>120</v>
      </c>
      <c r="AG42" s="73" t="s">
        <v>120</v>
      </c>
      <c r="AH42" s="73" t="s">
        <v>120</v>
      </c>
      <c r="AI42" s="73" t="s">
        <v>128</v>
      </c>
      <c r="AJ42" s="73" t="s">
        <v>129</v>
      </c>
      <c r="AK42" s="73" t="s">
        <v>130</v>
      </c>
      <c r="AL42" s="73" t="s">
        <v>120</v>
      </c>
      <c r="AM42" s="73" t="s">
        <v>132</v>
      </c>
      <c r="AO42" s="73" t="s">
        <v>318</v>
      </c>
      <c r="AP42" s="73" t="s">
        <v>120</v>
      </c>
      <c r="AQ42" s="73" t="s">
        <v>120</v>
      </c>
      <c r="AR42" s="73" t="s">
        <v>120</v>
      </c>
      <c r="AS42" s="73" t="s">
        <v>120</v>
      </c>
      <c r="AT42" s="73" t="s">
        <v>135</v>
      </c>
      <c r="AU42" s="73" t="s">
        <v>242</v>
      </c>
      <c r="AV42" s="73" t="s">
        <v>886</v>
      </c>
      <c r="AW42" s="73" t="s">
        <v>138</v>
      </c>
      <c r="AX42" s="73" t="s">
        <v>887</v>
      </c>
      <c r="AY42" s="73" t="s">
        <v>228</v>
      </c>
      <c r="AZ42" s="73">
        <v>2022</v>
      </c>
      <c r="BA42" s="73" t="s">
        <v>120</v>
      </c>
      <c r="BB42" s="73" t="s">
        <v>120</v>
      </c>
      <c r="BC42" s="73" t="s">
        <v>120</v>
      </c>
      <c r="BD42" s="73" t="s">
        <v>120</v>
      </c>
      <c r="BE42" s="73" t="s">
        <v>120</v>
      </c>
      <c r="BF42" s="73" t="s">
        <v>120</v>
      </c>
      <c r="BG42" s="73" t="s">
        <v>120</v>
      </c>
      <c r="BH42" s="73" t="s">
        <v>120</v>
      </c>
      <c r="BI42" s="73" t="s">
        <v>120</v>
      </c>
      <c r="BJ42" s="73" t="s">
        <v>120</v>
      </c>
      <c r="BK42" s="73" t="s">
        <v>120</v>
      </c>
      <c r="BL42" s="73" t="s">
        <v>120</v>
      </c>
      <c r="BM42" s="73" t="s">
        <v>120</v>
      </c>
      <c r="BN42" s="73" t="s">
        <v>120</v>
      </c>
      <c r="BO42" s="73" t="s">
        <v>120</v>
      </c>
      <c r="BP42" s="73" t="s">
        <v>120</v>
      </c>
      <c r="BQ42" s="73" t="s">
        <v>888</v>
      </c>
      <c r="BR42" s="73" t="s">
        <v>889</v>
      </c>
      <c r="BS42" s="73" t="s">
        <v>890</v>
      </c>
      <c r="BT42" s="73" t="s">
        <v>891</v>
      </c>
      <c r="BU42" s="74" t="s">
        <v>892</v>
      </c>
      <c r="BV42" s="73" t="s">
        <v>120</v>
      </c>
      <c r="BW42" s="73" t="s">
        <v>120</v>
      </c>
      <c r="BX42" s="73" t="s">
        <v>287</v>
      </c>
      <c r="BY42" s="73" t="s">
        <v>893</v>
      </c>
      <c r="BZ42" s="73" t="s">
        <v>894</v>
      </c>
      <c r="CA42" s="73" t="s">
        <v>120</v>
      </c>
      <c r="CB42" s="73" t="s">
        <v>120</v>
      </c>
      <c r="CC42" s="73" t="s">
        <v>120</v>
      </c>
      <c r="CD42" s="73" t="s">
        <v>120</v>
      </c>
      <c r="CE42" s="73" t="s">
        <v>120</v>
      </c>
      <c r="CF42" s="73" t="s">
        <v>120</v>
      </c>
      <c r="CG42" s="73" t="s">
        <v>120</v>
      </c>
      <c r="CH42" s="73" t="s">
        <v>120</v>
      </c>
      <c r="CI42" s="73" t="s">
        <v>120</v>
      </c>
      <c r="CJ42" s="73" t="s">
        <v>120</v>
      </c>
      <c r="CK42" s="73" t="s">
        <v>120</v>
      </c>
      <c r="CL42" s="73" t="s">
        <v>120</v>
      </c>
      <c r="CM42" s="73" t="s">
        <v>120</v>
      </c>
      <c r="CN42" s="73" t="s">
        <v>120</v>
      </c>
      <c r="CO42" s="73" t="s">
        <v>120</v>
      </c>
      <c r="CP42" s="73" t="s">
        <v>120</v>
      </c>
      <c r="CQ42" s="73" t="s">
        <v>120</v>
      </c>
      <c r="CR42" s="73" t="s">
        <v>120</v>
      </c>
      <c r="CS42" s="73" t="s">
        <v>120</v>
      </c>
      <c r="CT42" s="73" t="s">
        <v>120</v>
      </c>
      <c r="CU42" s="73" t="s">
        <v>120</v>
      </c>
      <c r="CV42" s="73" t="s">
        <v>120</v>
      </c>
      <c r="CW42" s="73" t="s">
        <v>120</v>
      </c>
      <c r="CX42" s="73" t="s">
        <v>120</v>
      </c>
      <c r="CY42" s="73" t="s">
        <v>120</v>
      </c>
      <c r="CZ42" s="73" t="s">
        <v>120</v>
      </c>
      <c r="DA42" s="73" t="s">
        <v>120</v>
      </c>
      <c r="DB42" s="73" t="s">
        <v>120</v>
      </c>
      <c r="DC42" s="73" t="s">
        <v>120</v>
      </c>
      <c r="DD42" s="73" t="s">
        <v>120</v>
      </c>
      <c r="DE42" s="73" t="s">
        <v>120</v>
      </c>
      <c r="DF42" s="73" t="s">
        <v>120</v>
      </c>
    </row>
    <row r="43" spans="1:110" s="77" customFormat="1">
      <c r="A43" s="77">
        <v>13</v>
      </c>
      <c r="B43" s="77" t="s">
        <v>110</v>
      </c>
      <c r="D43" s="77" t="s">
        <v>895</v>
      </c>
      <c r="E43" s="77" t="s">
        <v>896</v>
      </c>
      <c r="F43" s="77" t="s">
        <v>897</v>
      </c>
      <c r="G43" s="77" t="s">
        <v>110</v>
      </c>
      <c r="I43" s="77" t="s">
        <v>110</v>
      </c>
      <c r="K43" s="77" t="s">
        <v>110</v>
      </c>
      <c r="L43" s="77">
        <v>2023</v>
      </c>
      <c r="M43" s="77" t="s">
        <v>110</v>
      </c>
      <c r="N43" s="77" t="s">
        <v>110</v>
      </c>
      <c r="O43" s="77" t="s">
        <v>110</v>
      </c>
      <c r="P43" s="77" t="s">
        <v>110</v>
      </c>
      <c r="Q43" s="77" t="s">
        <v>110</v>
      </c>
      <c r="R43" s="77" t="s">
        <v>110</v>
      </c>
      <c r="S43" s="77" t="s">
        <v>110</v>
      </c>
      <c r="T43" s="77" t="s">
        <v>898</v>
      </c>
      <c r="U43" s="77" t="s">
        <v>110</v>
      </c>
      <c r="V43" s="77" t="s">
        <v>110</v>
      </c>
      <c r="W43" s="77" t="s">
        <v>110</v>
      </c>
    </row>
    <row r="44" spans="1:110" s="73" customFormat="1" ht="30.75">
      <c r="A44" s="73">
        <v>7</v>
      </c>
      <c r="B44" s="73" t="s">
        <v>110</v>
      </c>
      <c r="C44" s="76" t="s">
        <v>899</v>
      </c>
      <c r="D44" s="73" t="s">
        <v>900</v>
      </c>
      <c r="E44" s="73" t="s">
        <v>901</v>
      </c>
      <c r="F44" s="73" t="s">
        <v>902</v>
      </c>
      <c r="G44" s="73" t="s">
        <v>903</v>
      </c>
      <c r="H44" s="73">
        <v>167</v>
      </c>
      <c r="I44" s="73" t="s">
        <v>110</v>
      </c>
      <c r="J44" s="73">
        <v>4</v>
      </c>
      <c r="K44" s="73" t="s">
        <v>904</v>
      </c>
      <c r="L44" s="73">
        <v>2024</v>
      </c>
      <c r="M44" s="76" t="s">
        <v>905</v>
      </c>
      <c r="N44" s="73" t="s">
        <v>110</v>
      </c>
      <c r="O44" s="73" t="s">
        <v>110</v>
      </c>
      <c r="P44" s="73" t="s">
        <v>110</v>
      </c>
      <c r="Q44" s="73" t="s">
        <v>110</v>
      </c>
      <c r="R44" s="73" t="s">
        <v>110</v>
      </c>
      <c r="S44" s="73" t="s">
        <v>813</v>
      </c>
      <c r="T44" s="73" t="s">
        <v>110</v>
      </c>
      <c r="U44" s="73" t="s">
        <v>110</v>
      </c>
      <c r="V44" s="73" t="s">
        <v>906</v>
      </c>
      <c r="W44" s="73" t="s">
        <v>907</v>
      </c>
      <c r="X44" s="73" t="s">
        <v>119</v>
      </c>
      <c r="Y44" s="73" t="s">
        <v>119</v>
      </c>
      <c r="Z44" s="73" t="s">
        <v>675</v>
      </c>
      <c r="AA44" s="73" t="s">
        <v>908</v>
      </c>
      <c r="AD44" s="73" t="s">
        <v>909</v>
      </c>
      <c r="AE44" s="73" t="s">
        <v>125</v>
      </c>
      <c r="AF44" s="73" t="s">
        <v>910</v>
      </c>
      <c r="AG44" s="73" t="s">
        <v>911</v>
      </c>
      <c r="AH44" s="73" t="s">
        <v>120</v>
      </c>
      <c r="AI44" s="73" t="s">
        <v>681</v>
      </c>
      <c r="AJ44" s="73" t="s">
        <v>581</v>
      </c>
      <c r="AK44" s="73" t="s">
        <v>682</v>
      </c>
      <c r="AL44" s="73" t="s">
        <v>683</v>
      </c>
      <c r="AM44" s="73" t="s">
        <v>684</v>
      </c>
      <c r="AO44" s="73" t="s">
        <v>299</v>
      </c>
      <c r="AP44" s="73" t="s">
        <v>223</v>
      </c>
      <c r="AQ44" s="73">
        <v>10</v>
      </c>
      <c r="AT44" s="73" t="s">
        <v>135</v>
      </c>
      <c r="AU44" s="73" t="s">
        <v>242</v>
      </c>
      <c r="AV44" s="73" t="s">
        <v>912</v>
      </c>
      <c r="AW44" s="73" t="s">
        <v>138</v>
      </c>
      <c r="AX44" s="73">
        <v>9</v>
      </c>
      <c r="AY44" s="74" t="s">
        <v>782</v>
      </c>
      <c r="BC44" s="73" t="s">
        <v>685</v>
      </c>
      <c r="BD44" s="73" t="s">
        <v>913</v>
      </c>
      <c r="BE44" s="73" t="s">
        <v>913</v>
      </c>
      <c r="BF44" s="73" t="s">
        <v>914</v>
      </c>
      <c r="BG44" s="73" t="s">
        <v>915</v>
      </c>
      <c r="BQ44" s="73" t="s">
        <v>685</v>
      </c>
      <c r="BR44" s="73" t="s">
        <v>916</v>
      </c>
      <c r="BS44" s="73" t="s">
        <v>917</v>
      </c>
      <c r="BT44" s="71" t="s">
        <v>918</v>
      </c>
      <c r="CA44" s="73" t="s">
        <v>919</v>
      </c>
      <c r="CB44" s="74" t="s">
        <v>920</v>
      </c>
      <c r="CC44" s="74" t="s">
        <v>920</v>
      </c>
      <c r="CI44" s="73" t="s">
        <v>921</v>
      </c>
    </row>
    <row r="45" spans="1:110" s="73" customFormat="1" ht="20.25" customHeight="1">
      <c r="A45" s="73">
        <v>7</v>
      </c>
      <c r="B45" s="73" t="s">
        <v>110</v>
      </c>
      <c r="C45" s="76" t="s">
        <v>922</v>
      </c>
      <c r="D45" s="73" t="s">
        <v>923</v>
      </c>
      <c r="E45" s="73" t="s">
        <v>924</v>
      </c>
      <c r="F45" s="73" t="s">
        <v>925</v>
      </c>
      <c r="G45" s="73" t="s">
        <v>926</v>
      </c>
      <c r="H45" s="73">
        <v>29</v>
      </c>
      <c r="I45" s="73" t="s">
        <v>110</v>
      </c>
      <c r="J45" s="73">
        <v>1</v>
      </c>
      <c r="K45" s="73" t="s">
        <v>110</v>
      </c>
      <c r="L45" s="73">
        <v>2024</v>
      </c>
      <c r="M45" s="76" t="s">
        <v>927</v>
      </c>
      <c r="N45" s="73" t="s">
        <v>110</v>
      </c>
      <c r="O45" s="73" t="s">
        <v>110</v>
      </c>
      <c r="P45" s="73" t="s">
        <v>110</v>
      </c>
      <c r="Q45" s="73" t="s">
        <v>110</v>
      </c>
      <c r="R45" s="73" t="s">
        <v>110</v>
      </c>
      <c r="S45" s="73" t="s">
        <v>845</v>
      </c>
      <c r="T45" s="73" t="s">
        <v>110</v>
      </c>
      <c r="U45" s="73" t="s">
        <v>110</v>
      </c>
      <c r="V45" s="73" t="s">
        <v>928</v>
      </c>
      <c r="W45" s="73" t="s">
        <v>929</v>
      </c>
      <c r="X45" s="73" t="s">
        <v>119</v>
      </c>
      <c r="Y45" s="73" t="s">
        <v>119</v>
      </c>
      <c r="Z45" s="73" t="s">
        <v>218</v>
      </c>
      <c r="AD45" s="74" t="s">
        <v>930</v>
      </c>
      <c r="AE45" s="73" t="s">
        <v>817</v>
      </c>
      <c r="AH45" s="73" t="s">
        <v>931</v>
      </c>
      <c r="AI45" s="73" t="s">
        <v>128</v>
      </c>
      <c r="AJ45" s="73" t="s">
        <v>129</v>
      </c>
      <c r="AK45" s="73" t="s">
        <v>130</v>
      </c>
      <c r="AL45" s="73" t="s">
        <v>131</v>
      </c>
      <c r="AM45" s="73" t="s">
        <v>932</v>
      </c>
      <c r="AO45" s="73" t="s">
        <v>318</v>
      </c>
      <c r="AT45" s="73" t="s">
        <v>135</v>
      </c>
      <c r="AU45" s="73" t="s">
        <v>730</v>
      </c>
      <c r="AV45" s="73" t="s">
        <v>225</v>
      </c>
      <c r="AW45" s="73" t="s">
        <v>730</v>
      </c>
      <c r="AX45" s="73">
        <v>24</v>
      </c>
      <c r="AY45" s="74" t="s">
        <v>228</v>
      </c>
      <c r="BQ45" s="73" t="s">
        <v>685</v>
      </c>
      <c r="BR45" s="74" t="s">
        <v>933</v>
      </c>
      <c r="BS45" s="74" t="s">
        <v>933</v>
      </c>
      <c r="BT45" s="74" t="s">
        <v>934</v>
      </c>
      <c r="BU45" s="74" t="s">
        <v>935</v>
      </c>
      <c r="BX45" s="73" t="s">
        <v>936</v>
      </c>
      <c r="BZ45" s="74" t="s">
        <v>894</v>
      </c>
    </row>
    <row r="46" spans="1:110" s="39" customFormat="1">
      <c r="A46" s="39">
        <v>7</v>
      </c>
      <c r="B46" s="39" t="s">
        <v>110</v>
      </c>
      <c r="C46" s="39" t="s">
        <v>937</v>
      </c>
      <c r="D46" s="39" t="s">
        <v>938</v>
      </c>
      <c r="E46" s="39" t="s">
        <v>939</v>
      </c>
      <c r="F46" s="39" t="s">
        <v>940</v>
      </c>
      <c r="G46" s="39" t="s">
        <v>941</v>
      </c>
      <c r="H46" s="39">
        <v>6</v>
      </c>
      <c r="I46" s="39" t="s">
        <v>110</v>
      </c>
      <c r="J46" s="39">
        <v>12</v>
      </c>
      <c r="K46" s="39" t="s">
        <v>110</v>
      </c>
      <c r="L46" s="39">
        <v>2025</v>
      </c>
      <c r="M46" s="39" t="s">
        <v>942</v>
      </c>
      <c r="N46" s="39" t="s">
        <v>110</v>
      </c>
      <c r="O46" s="39" t="s">
        <v>110</v>
      </c>
      <c r="P46" s="39" t="s">
        <v>110</v>
      </c>
      <c r="Q46" s="39" t="s">
        <v>110</v>
      </c>
      <c r="R46" s="39" t="s">
        <v>110</v>
      </c>
      <c r="S46" s="39" t="s">
        <v>943</v>
      </c>
      <c r="T46" s="39" t="s">
        <v>110</v>
      </c>
      <c r="U46" s="39" t="s">
        <v>110</v>
      </c>
      <c r="V46" s="39" t="s">
        <v>944</v>
      </c>
      <c r="W46" s="39" t="s">
        <v>110</v>
      </c>
      <c r="X46" s="39" t="s">
        <v>119</v>
      </c>
      <c r="Y46" s="39" t="s">
        <v>120</v>
      </c>
      <c r="Z46" s="39" t="s">
        <v>675</v>
      </c>
      <c r="AA46" s="39" t="s">
        <v>945</v>
      </c>
      <c r="AB46" s="39" t="s">
        <v>946</v>
      </c>
      <c r="AC46" s="39" t="s">
        <v>120</v>
      </c>
      <c r="AD46" s="39" t="s">
        <v>947</v>
      </c>
      <c r="AE46" s="39">
        <v>4</v>
      </c>
      <c r="AF46" s="39" t="s">
        <v>120</v>
      </c>
      <c r="AG46" s="39" t="s">
        <v>120</v>
      </c>
      <c r="AH46" s="39" t="s">
        <v>120</v>
      </c>
      <c r="AI46" s="39" t="s">
        <v>948</v>
      </c>
      <c r="AJ46" s="39" t="s">
        <v>129</v>
      </c>
      <c r="AK46" s="39" t="s">
        <v>120</v>
      </c>
      <c r="AL46" s="39" t="s">
        <v>159</v>
      </c>
      <c r="AM46" s="39" t="s">
        <v>949</v>
      </c>
      <c r="AN46" s="39" t="s">
        <v>454</v>
      </c>
      <c r="AO46" s="39" t="s">
        <v>318</v>
      </c>
      <c r="AP46" s="39" t="s">
        <v>134</v>
      </c>
      <c r="AQ46" s="39" t="s">
        <v>120</v>
      </c>
      <c r="AR46" s="39" t="s">
        <v>120</v>
      </c>
      <c r="AS46" s="39" t="s">
        <v>120</v>
      </c>
      <c r="AT46" s="39" t="s">
        <v>135</v>
      </c>
      <c r="AU46" s="39" t="s">
        <v>950</v>
      </c>
      <c r="AV46" s="39" t="s">
        <v>120</v>
      </c>
      <c r="AW46" s="39" t="s">
        <v>120</v>
      </c>
      <c r="AX46" s="39">
        <v>1</v>
      </c>
      <c r="AY46" s="39" t="s">
        <v>951</v>
      </c>
      <c r="AZ46" s="39">
        <v>2018</v>
      </c>
      <c r="BA46" s="39" t="s">
        <v>952</v>
      </c>
      <c r="BB46" s="39" t="s">
        <v>120</v>
      </c>
      <c r="BC46" s="39" t="s">
        <v>120</v>
      </c>
      <c r="BD46" s="39" t="s">
        <v>120</v>
      </c>
      <c r="BE46" s="39" t="s">
        <v>120</v>
      </c>
      <c r="BF46" s="39" t="s">
        <v>120</v>
      </c>
      <c r="BG46" s="39" t="s">
        <v>120</v>
      </c>
      <c r="BH46" s="39" t="s">
        <v>120</v>
      </c>
      <c r="BI46" s="39" t="s">
        <v>120</v>
      </c>
      <c r="BJ46" s="39" t="s">
        <v>120</v>
      </c>
      <c r="BK46" s="39" t="s">
        <v>120</v>
      </c>
      <c r="BL46" s="39" t="s">
        <v>120</v>
      </c>
      <c r="BM46" s="39" t="s">
        <v>120</v>
      </c>
      <c r="BN46" s="39" t="s">
        <v>120</v>
      </c>
      <c r="BO46" s="39" t="s">
        <v>120</v>
      </c>
      <c r="BP46" s="39" t="s">
        <v>120</v>
      </c>
      <c r="BQ46" s="39" t="s">
        <v>320</v>
      </c>
      <c r="BR46" s="39" t="s">
        <v>953</v>
      </c>
      <c r="BS46" s="39">
        <v>82.6</v>
      </c>
      <c r="BT46" s="39" t="s">
        <v>954</v>
      </c>
      <c r="BU46" s="39" t="s">
        <v>955</v>
      </c>
      <c r="BV46" s="39" t="s">
        <v>120</v>
      </c>
      <c r="BW46" s="39" t="s">
        <v>120</v>
      </c>
      <c r="BX46" s="39" t="s">
        <v>120</v>
      </c>
      <c r="BY46" s="39" t="s">
        <v>120</v>
      </c>
      <c r="BZ46" s="39" t="s">
        <v>956</v>
      </c>
      <c r="CA46" s="39" t="s">
        <v>120</v>
      </c>
      <c r="CB46" s="39" t="s">
        <v>120</v>
      </c>
      <c r="CC46" s="39" t="s">
        <v>120</v>
      </c>
      <c r="CD46" s="39" t="s">
        <v>120</v>
      </c>
      <c r="CE46" s="39" t="s">
        <v>120</v>
      </c>
      <c r="CF46" s="39" t="s">
        <v>120</v>
      </c>
      <c r="CG46" s="39" t="s">
        <v>120</v>
      </c>
      <c r="CH46" s="39" t="s">
        <v>120</v>
      </c>
      <c r="CI46" s="39" t="s">
        <v>120</v>
      </c>
      <c r="CJ46" s="39" t="s">
        <v>120</v>
      </c>
      <c r="CK46" s="39" t="s">
        <v>120</v>
      </c>
      <c r="CL46" s="39" t="s">
        <v>120</v>
      </c>
      <c r="CM46" s="39" t="s">
        <v>120</v>
      </c>
      <c r="CN46" s="39" t="s">
        <v>120</v>
      </c>
      <c r="CO46" s="39" t="s">
        <v>120</v>
      </c>
      <c r="CP46" s="39" t="s">
        <v>120</v>
      </c>
      <c r="CQ46" s="39" t="s">
        <v>120</v>
      </c>
      <c r="CR46" s="39" t="s">
        <v>120</v>
      </c>
      <c r="CS46" s="39" t="s">
        <v>120</v>
      </c>
      <c r="CT46" s="39" t="s">
        <v>120</v>
      </c>
      <c r="CU46" s="39" t="s">
        <v>120</v>
      </c>
      <c r="CV46" s="39" t="s">
        <v>120</v>
      </c>
      <c r="CW46" s="39" t="s">
        <v>120</v>
      </c>
      <c r="CX46" s="39" t="s">
        <v>120</v>
      </c>
      <c r="CY46" s="39" t="s">
        <v>120</v>
      </c>
      <c r="CZ46" s="39" t="s">
        <v>120</v>
      </c>
      <c r="DA46" s="39" t="s">
        <v>120</v>
      </c>
      <c r="DB46" s="39" t="s">
        <v>120</v>
      </c>
      <c r="DC46" s="39" t="s">
        <v>120</v>
      </c>
      <c r="DD46" s="39" t="s">
        <v>120</v>
      </c>
      <c r="DE46" s="39" t="s">
        <v>120</v>
      </c>
      <c r="DF46" s="39" t="s">
        <v>120</v>
      </c>
    </row>
    <row r="47" spans="1:110" s="73" customFormat="1" ht="17.25" customHeight="1">
      <c r="A47" s="73">
        <v>7</v>
      </c>
      <c r="B47" s="73" t="s">
        <v>110</v>
      </c>
      <c r="C47" s="76" t="s">
        <v>957</v>
      </c>
      <c r="D47" s="73" t="s">
        <v>958</v>
      </c>
      <c r="E47" s="73" t="s">
        <v>959</v>
      </c>
      <c r="F47" s="73" t="s">
        <v>960</v>
      </c>
      <c r="G47" s="73" t="s">
        <v>961</v>
      </c>
      <c r="H47" s="73">
        <v>40</v>
      </c>
      <c r="I47" s="73" t="s">
        <v>110</v>
      </c>
      <c r="J47" s="73">
        <v>7</v>
      </c>
      <c r="K47" s="73" t="s">
        <v>110</v>
      </c>
      <c r="L47" s="73">
        <v>2025</v>
      </c>
      <c r="M47" s="76" t="s">
        <v>880</v>
      </c>
      <c r="N47" s="73" t="s">
        <v>110</v>
      </c>
      <c r="O47" s="73" t="s">
        <v>110</v>
      </c>
      <c r="P47" s="73" t="s">
        <v>110</v>
      </c>
      <c r="Q47" s="73" t="s">
        <v>110</v>
      </c>
      <c r="R47" s="73" t="s">
        <v>110</v>
      </c>
      <c r="S47" s="73" t="s">
        <v>845</v>
      </c>
      <c r="T47" s="73" t="s">
        <v>110</v>
      </c>
      <c r="U47" s="73" t="s">
        <v>110</v>
      </c>
      <c r="V47" s="73" t="s">
        <v>962</v>
      </c>
      <c r="W47" s="73" t="s">
        <v>963</v>
      </c>
      <c r="X47" s="73" t="s">
        <v>119</v>
      </c>
      <c r="Y47" s="73" t="s">
        <v>119</v>
      </c>
      <c r="Z47" s="73" t="s">
        <v>218</v>
      </c>
      <c r="AA47" s="73" t="s">
        <v>219</v>
      </c>
      <c r="AB47" s="73" t="s">
        <v>741</v>
      </c>
      <c r="AD47" s="73" t="s">
        <v>964</v>
      </c>
      <c r="AE47" s="74" t="s">
        <v>181</v>
      </c>
      <c r="AI47" s="73" t="s">
        <v>128</v>
      </c>
      <c r="AJ47" s="73" t="s">
        <v>129</v>
      </c>
      <c r="AK47" s="73" t="s">
        <v>130</v>
      </c>
      <c r="AL47" s="73" t="s">
        <v>131</v>
      </c>
      <c r="AM47" s="73" t="s">
        <v>132</v>
      </c>
      <c r="AO47" s="73" t="s">
        <v>318</v>
      </c>
      <c r="AT47" s="73" t="s">
        <v>135</v>
      </c>
      <c r="AU47" s="73" t="s">
        <v>242</v>
      </c>
      <c r="AV47" s="73" t="s">
        <v>965</v>
      </c>
      <c r="AW47" s="73" t="s">
        <v>227</v>
      </c>
      <c r="AX47" s="73">
        <v>30</v>
      </c>
      <c r="AY47" s="73" t="s">
        <v>191</v>
      </c>
      <c r="BC47" s="73" t="s">
        <v>685</v>
      </c>
      <c r="BD47" s="74" t="s">
        <v>966</v>
      </c>
      <c r="BE47" s="74" t="s">
        <v>966</v>
      </c>
      <c r="BG47" s="74" t="s">
        <v>967</v>
      </c>
    </row>
    <row r="48" spans="1:110" s="73" customFormat="1" ht="45.75">
      <c r="A48" s="73">
        <v>7</v>
      </c>
      <c r="B48" s="73" t="s">
        <v>110</v>
      </c>
      <c r="C48" s="76" t="s">
        <v>968</v>
      </c>
      <c r="D48" s="73" t="s">
        <v>969</v>
      </c>
      <c r="E48" s="73" t="s">
        <v>970</v>
      </c>
      <c r="F48" s="73" t="s">
        <v>971</v>
      </c>
      <c r="G48" s="73" t="s">
        <v>972</v>
      </c>
      <c r="H48" s="73">
        <v>380</v>
      </c>
      <c r="I48" s="73" t="s">
        <v>110</v>
      </c>
      <c r="J48" s="73">
        <v>4</v>
      </c>
      <c r="K48" s="73" t="s">
        <v>110</v>
      </c>
      <c r="L48" s="73">
        <v>2025</v>
      </c>
      <c r="M48" s="76" t="s">
        <v>973</v>
      </c>
      <c r="N48" s="73" t="s">
        <v>110</v>
      </c>
      <c r="O48" s="73" t="s">
        <v>110</v>
      </c>
      <c r="P48" s="73" t="s">
        <v>110</v>
      </c>
      <c r="Q48" s="73" t="s">
        <v>110</v>
      </c>
      <c r="R48" s="73" t="s">
        <v>110</v>
      </c>
      <c r="S48" s="73" t="s">
        <v>974</v>
      </c>
      <c r="T48" s="73" t="s">
        <v>110</v>
      </c>
      <c r="U48" s="73" t="s">
        <v>110</v>
      </c>
      <c r="V48" s="73" t="s">
        <v>975</v>
      </c>
      <c r="W48" s="73" t="s">
        <v>976</v>
      </c>
      <c r="X48" s="73" t="s">
        <v>119</v>
      </c>
      <c r="Y48" s="73" t="s">
        <v>119</v>
      </c>
      <c r="Z48" s="73" t="s">
        <v>218</v>
      </c>
      <c r="AD48" s="73" t="s">
        <v>977</v>
      </c>
      <c r="AE48" s="74" t="s">
        <v>181</v>
      </c>
      <c r="AH48" s="73" t="s">
        <v>978</v>
      </c>
      <c r="AI48" s="73" t="s">
        <v>128</v>
      </c>
      <c r="AJ48" s="73" t="s">
        <v>129</v>
      </c>
      <c r="AK48" s="73" t="s">
        <v>130</v>
      </c>
      <c r="AL48" s="73" t="s">
        <v>131</v>
      </c>
      <c r="AM48" s="73" t="s">
        <v>132</v>
      </c>
      <c r="AO48" s="73" t="s">
        <v>318</v>
      </c>
      <c r="AT48" s="73" t="s">
        <v>135</v>
      </c>
      <c r="AU48" s="73" t="s">
        <v>189</v>
      </c>
      <c r="AY48" s="73" t="s">
        <v>228</v>
      </c>
      <c r="BQ48" s="73" t="s">
        <v>320</v>
      </c>
      <c r="BR48" s="74" t="s">
        <v>979</v>
      </c>
      <c r="BT48" s="73" t="s">
        <v>980</v>
      </c>
    </row>
    <row r="49" spans="1:110" s="39" customFormat="1">
      <c r="A49" s="39">
        <v>7</v>
      </c>
      <c r="B49" s="39" t="s">
        <v>110</v>
      </c>
      <c r="C49" s="39" t="s">
        <v>981</v>
      </c>
      <c r="D49" s="39" t="s">
        <v>982</v>
      </c>
      <c r="E49" s="39" t="s">
        <v>983</v>
      </c>
      <c r="F49" s="39" t="s">
        <v>984</v>
      </c>
      <c r="G49" s="39" t="s">
        <v>985</v>
      </c>
      <c r="H49" s="39">
        <v>19</v>
      </c>
      <c r="I49" s="39" t="s">
        <v>110</v>
      </c>
      <c r="J49" s="39">
        <v>4</v>
      </c>
      <c r="K49" s="39" t="s">
        <v>986</v>
      </c>
      <c r="L49" s="39">
        <v>2025</v>
      </c>
      <c r="M49" s="5" t="s">
        <v>987</v>
      </c>
      <c r="N49" s="39" t="s">
        <v>110</v>
      </c>
      <c r="O49" s="39" t="s">
        <v>110</v>
      </c>
      <c r="P49" s="39" t="s">
        <v>110</v>
      </c>
      <c r="Q49" s="39" t="s">
        <v>110</v>
      </c>
      <c r="R49" s="39" t="s">
        <v>110</v>
      </c>
      <c r="S49" s="39" t="s">
        <v>988</v>
      </c>
      <c r="T49" s="39" t="s">
        <v>110</v>
      </c>
      <c r="U49" s="39" t="s">
        <v>110</v>
      </c>
      <c r="V49" s="39" t="s">
        <v>989</v>
      </c>
      <c r="W49" s="39" t="s">
        <v>110</v>
      </c>
      <c r="Y49" s="39" t="s">
        <v>120</v>
      </c>
      <c r="Z49" s="39" t="s">
        <v>218</v>
      </c>
      <c r="AA49" s="39" t="s">
        <v>199</v>
      </c>
      <c r="AB49" s="39" t="s">
        <v>990</v>
      </c>
      <c r="AD49" s="39" t="s">
        <v>991</v>
      </c>
      <c r="AE49" s="39" t="s">
        <v>255</v>
      </c>
      <c r="AI49" s="39" t="s">
        <v>128</v>
      </c>
      <c r="AJ49" s="39" t="s">
        <v>131</v>
      </c>
      <c r="AK49" s="39" t="s">
        <v>992</v>
      </c>
      <c r="AL49" s="39" t="s">
        <v>185</v>
      </c>
      <c r="AM49" s="39" t="s">
        <v>128</v>
      </c>
      <c r="AN49" s="39" t="s">
        <v>993</v>
      </c>
      <c r="AO49" s="39" t="s">
        <v>584</v>
      </c>
      <c r="AP49" s="39" t="s">
        <v>585</v>
      </c>
      <c r="AS49" s="39" t="s">
        <v>994</v>
      </c>
      <c r="AT49" s="39" t="s">
        <v>586</v>
      </c>
      <c r="AU49" s="39" t="s">
        <v>160</v>
      </c>
      <c r="AV49" s="39" t="s">
        <v>995</v>
      </c>
      <c r="AX49" s="39">
        <v>20</v>
      </c>
      <c r="AY49" s="39" t="s">
        <v>996</v>
      </c>
      <c r="BC49" s="40"/>
      <c r="BD49" s="41"/>
      <c r="BE49" s="4"/>
      <c r="BQ49" s="39" t="s">
        <v>709</v>
      </c>
      <c r="BR49" s="39">
        <v>93.74</v>
      </c>
      <c r="BT49" s="39" t="s">
        <v>997</v>
      </c>
      <c r="BU49" s="39" t="s">
        <v>594</v>
      </c>
      <c r="BV49" s="39" t="s">
        <v>998</v>
      </c>
      <c r="BX49" s="39" t="s">
        <v>689</v>
      </c>
      <c r="BY49" s="39" t="s">
        <v>999</v>
      </c>
      <c r="BZ49" s="39" t="s">
        <v>1000</v>
      </c>
    </row>
    <row r="50" spans="1:110" s="39" customFormat="1">
      <c r="A50" s="39">
        <v>7</v>
      </c>
      <c r="B50" s="39" t="s">
        <v>110</v>
      </c>
      <c r="C50" s="39" t="s">
        <v>1001</v>
      </c>
      <c r="D50" s="39" t="s">
        <v>1002</v>
      </c>
      <c r="E50" s="39" t="s">
        <v>1003</v>
      </c>
      <c r="F50" s="39" t="s">
        <v>1004</v>
      </c>
      <c r="G50" s="39" t="s">
        <v>771</v>
      </c>
      <c r="H50" s="39">
        <v>17</v>
      </c>
      <c r="I50" s="39" t="s">
        <v>110</v>
      </c>
      <c r="J50" s="39">
        <v>12</v>
      </c>
      <c r="K50" s="39" t="s">
        <v>1005</v>
      </c>
      <c r="L50" s="39">
        <v>2025</v>
      </c>
      <c r="M50" s="39" t="s">
        <v>1006</v>
      </c>
      <c r="N50" s="39" t="s">
        <v>110</v>
      </c>
      <c r="O50" s="39" t="s">
        <v>110</v>
      </c>
      <c r="P50" s="39" t="s">
        <v>110</v>
      </c>
      <c r="Q50" s="39" t="s">
        <v>110</v>
      </c>
      <c r="R50" s="39" t="s">
        <v>110</v>
      </c>
      <c r="S50" s="39" t="s">
        <v>773</v>
      </c>
      <c r="T50" s="39" t="s">
        <v>110</v>
      </c>
      <c r="U50" s="39" t="s">
        <v>110</v>
      </c>
      <c r="V50" s="39" t="s">
        <v>1007</v>
      </c>
      <c r="W50" s="39" t="s">
        <v>110</v>
      </c>
      <c r="Y50" s="39" t="s">
        <v>120</v>
      </c>
      <c r="Z50" s="39" t="s">
        <v>218</v>
      </c>
      <c r="AA50" s="39" t="s">
        <v>219</v>
      </c>
      <c r="AB50" s="39" t="s">
        <v>1008</v>
      </c>
      <c r="AD50" s="39" t="s">
        <v>1009</v>
      </c>
      <c r="AE50" s="39" t="s">
        <v>255</v>
      </c>
      <c r="AI50" s="39" t="s">
        <v>128</v>
      </c>
      <c r="AJ50" s="39" t="s">
        <v>131</v>
      </c>
      <c r="AK50" s="39" t="s">
        <v>992</v>
      </c>
      <c r="AL50" s="39" t="s">
        <v>185</v>
      </c>
      <c r="AM50" s="39" t="s">
        <v>128</v>
      </c>
      <c r="AO50" s="39" t="s">
        <v>133</v>
      </c>
      <c r="AP50" s="39" t="s">
        <v>223</v>
      </c>
      <c r="AS50" s="39" t="s">
        <v>994</v>
      </c>
      <c r="AT50" s="39" t="s">
        <v>586</v>
      </c>
      <c r="AU50" s="39" t="s">
        <v>160</v>
      </c>
      <c r="AV50" s="39" t="s">
        <v>1010</v>
      </c>
      <c r="AW50" s="39" t="s">
        <v>861</v>
      </c>
      <c r="AX50" s="39">
        <v>16</v>
      </c>
      <c r="AY50" s="39" t="s">
        <v>996</v>
      </c>
      <c r="BC50" s="40"/>
      <c r="BD50" s="41"/>
      <c r="BE50" s="4"/>
      <c r="BQ50" s="39" t="s">
        <v>1011</v>
      </c>
      <c r="BR50" s="39" t="s">
        <v>1012</v>
      </c>
      <c r="BU50" s="39" t="s">
        <v>594</v>
      </c>
      <c r="BV50" s="39" t="s">
        <v>595</v>
      </c>
      <c r="BX50" s="39" t="s">
        <v>595</v>
      </c>
      <c r="BY50" s="39" t="s">
        <v>596</v>
      </c>
      <c r="BZ50" s="39" t="s">
        <v>597</v>
      </c>
    </row>
    <row r="51" spans="1:110" s="73" customFormat="1" ht="20.25" customHeight="1">
      <c r="A51" s="73">
        <v>7</v>
      </c>
      <c r="B51" s="73" t="s">
        <v>110</v>
      </c>
      <c r="C51" s="76" t="s">
        <v>1013</v>
      </c>
      <c r="D51" s="73" t="s">
        <v>1014</v>
      </c>
      <c r="E51" s="73" t="s">
        <v>1015</v>
      </c>
      <c r="F51" s="73" t="s">
        <v>1016</v>
      </c>
      <c r="G51" s="73" t="s">
        <v>1017</v>
      </c>
      <c r="H51" s="73">
        <v>14</v>
      </c>
      <c r="I51" s="73" t="s">
        <v>110</v>
      </c>
      <c r="J51" s="73">
        <v>10</v>
      </c>
      <c r="K51" s="73" t="s">
        <v>110</v>
      </c>
      <c r="L51" s="73">
        <v>2025</v>
      </c>
      <c r="M51" s="76" t="s">
        <v>1018</v>
      </c>
      <c r="N51" s="73" t="s">
        <v>110</v>
      </c>
      <c r="O51" s="73" t="s">
        <v>110</v>
      </c>
      <c r="P51" s="73" t="s">
        <v>110</v>
      </c>
      <c r="Q51" s="73" t="s">
        <v>110</v>
      </c>
      <c r="R51" s="73" t="s">
        <v>110</v>
      </c>
      <c r="S51" s="73" t="s">
        <v>1019</v>
      </c>
      <c r="T51" s="73" t="s">
        <v>110</v>
      </c>
      <c r="U51" s="73" t="s">
        <v>110</v>
      </c>
      <c r="V51" s="73" t="s">
        <v>1020</v>
      </c>
      <c r="W51" s="73" t="s">
        <v>1021</v>
      </c>
      <c r="X51" s="73" t="s">
        <v>119</v>
      </c>
      <c r="Y51" s="73" t="s">
        <v>119</v>
      </c>
      <c r="Z51" s="73" t="s">
        <v>675</v>
      </c>
      <c r="AA51" s="73" t="s">
        <v>701</v>
      </c>
      <c r="AB51" s="73" t="s">
        <v>1022</v>
      </c>
      <c r="AD51" s="73" t="s">
        <v>1023</v>
      </c>
      <c r="AE51" s="74" t="s">
        <v>181</v>
      </c>
      <c r="AH51" s="73" t="s">
        <v>1024</v>
      </c>
      <c r="AI51" s="73" t="s">
        <v>707</v>
      </c>
      <c r="AJ51" s="73" t="s">
        <v>581</v>
      </c>
      <c r="AK51" s="73" t="s">
        <v>682</v>
      </c>
      <c r="AL51" s="73" t="s">
        <v>683</v>
      </c>
      <c r="AM51" s="73" t="s">
        <v>684</v>
      </c>
      <c r="AO51" s="73" t="s">
        <v>780</v>
      </c>
      <c r="AP51" s="73" t="s">
        <v>481</v>
      </c>
      <c r="AT51" s="73" t="s">
        <v>135</v>
      </c>
      <c r="AU51" s="73" t="s">
        <v>1025</v>
      </c>
      <c r="AV51" s="73" t="s">
        <v>1026</v>
      </c>
      <c r="AW51" s="73" t="s">
        <v>206</v>
      </c>
      <c r="AX51" s="73">
        <v>35</v>
      </c>
      <c r="AY51" s="73" t="s">
        <v>1027</v>
      </c>
      <c r="AZ51" s="73">
        <v>2024</v>
      </c>
      <c r="BA51" s="73" t="s">
        <v>1028</v>
      </c>
      <c r="CR51" s="73" t="s">
        <v>1029</v>
      </c>
      <c r="CS51" s="74" t="s">
        <v>1030</v>
      </c>
      <c r="CT51" s="74" t="s">
        <v>1031</v>
      </c>
      <c r="CW51" s="81" t="s">
        <v>1032</v>
      </c>
      <c r="CX51" s="74" t="s">
        <v>1033</v>
      </c>
      <c r="DB51" s="81" t="s">
        <v>1032</v>
      </c>
      <c r="DC51" s="74" t="s">
        <v>1034</v>
      </c>
    </row>
    <row r="52" spans="1:110" s="39" customFormat="1">
      <c r="A52" s="39">
        <v>7</v>
      </c>
      <c r="B52" s="39" t="s">
        <v>110</v>
      </c>
      <c r="C52" s="5" t="s">
        <v>1035</v>
      </c>
      <c r="D52" s="39" t="s">
        <v>1036</v>
      </c>
      <c r="E52" s="39" t="s">
        <v>1037</v>
      </c>
      <c r="F52" s="39" t="s">
        <v>1038</v>
      </c>
      <c r="G52" s="39" t="s">
        <v>1039</v>
      </c>
      <c r="H52" s="39">
        <v>20</v>
      </c>
      <c r="I52" s="39" t="s">
        <v>110</v>
      </c>
      <c r="J52" s="39">
        <v>5</v>
      </c>
      <c r="K52" s="39" t="s">
        <v>110</v>
      </c>
      <c r="L52" s="39">
        <v>2025</v>
      </c>
      <c r="M52" s="5" t="s">
        <v>1040</v>
      </c>
      <c r="N52" s="39" t="s">
        <v>110</v>
      </c>
      <c r="O52" s="39" t="s">
        <v>110</v>
      </c>
      <c r="P52" s="39" t="s">
        <v>110</v>
      </c>
      <c r="Q52" s="39" t="s">
        <v>110</v>
      </c>
      <c r="R52" s="39" t="s">
        <v>110</v>
      </c>
      <c r="S52" s="39" t="s">
        <v>1041</v>
      </c>
      <c r="T52" s="39" t="s">
        <v>110</v>
      </c>
      <c r="U52" s="39" t="s">
        <v>110</v>
      </c>
      <c r="V52" s="39" t="s">
        <v>1042</v>
      </c>
      <c r="W52" s="39" t="s">
        <v>1043</v>
      </c>
      <c r="X52" s="39" t="s">
        <v>119</v>
      </c>
      <c r="Y52" s="39" t="s">
        <v>1044</v>
      </c>
      <c r="Z52" s="39" t="s">
        <v>1045</v>
      </c>
      <c r="AA52" s="39" t="s">
        <v>1046</v>
      </c>
      <c r="AB52" s="39" t="s">
        <v>885</v>
      </c>
      <c r="AC52" s="39" t="s">
        <v>120</v>
      </c>
      <c r="AD52" s="39" t="s">
        <v>885</v>
      </c>
      <c r="AE52" s="39" t="s">
        <v>120</v>
      </c>
      <c r="AF52" s="39" t="s">
        <v>120</v>
      </c>
      <c r="AG52" s="39" t="s">
        <v>120</v>
      </c>
      <c r="AH52" s="39" t="s">
        <v>120</v>
      </c>
      <c r="AI52" s="39" t="s">
        <v>1047</v>
      </c>
      <c r="AJ52" s="39" t="s">
        <v>1048</v>
      </c>
      <c r="AK52" s="39" t="s">
        <v>157</v>
      </c>
      <c r="AL52" s="39" t="s">
        <v>120</v>
      </c>
      <c r="AM52" s="39" t="s">
        <v>1049</v>
      </c>
      <c r="AN52" s="39" t="s">
        <v>120</v>
      </c>
      <c r="AO52" s="39" t="s">
        <v>120</v>
      </c>
      <c r="AP52" s="39" t="s">
        <v>120</v>
      </c>
      <c r="AQ52" s="39" t="s">
        <v>120</v>
      </c>
      <c r="AR52" s="39" t="s">
        <v>120</v>
      </c>
      <c r="AS52" s="39" t="s">
        <v>120</v>
      </c>
      <c r="AT52" s="2" t="s">
        <v>135</v>
      </c>
      <c r="AU52" s="39" t="s">
        <v>136</v>
      </c>
      <c r="AV52" s="39" t="s">
        <v>1050</v>
      </c>
      <c r="AW52" s="39" t="s">
        <v>1051</v>
      </c>
      <c r="AX52" s="39">
        <v>104</v>
      </c>
      <c r="AY52" s="39" t="s">
        <v>228</v>
      </c>
      <c r="AZ52" s="39" t="s">
        <v>1052</v>
      </c>
      <c r="BA52" s="39" t="s">
        <v>1052</v>
      </c>
      <c r="BB52" s="39" t="s">
        <v>120</v>
      </c>
      <c r="BC52" s="39" t="s">
        <v>120</v>
      </c>
      <c r="BD52" s="39" t="s">
        <v>120</v>
      </c>
      <c r="BE52" s="39" t="s">
        <v>120</v>
      </c>
      <c r="BF52" s="39" t="s">
        <v>120</v>
      </c>
      <c r="BG52" s="39" t="s">
        <v>120</v>
      </c>
      <c r="BH52" s="39" t="s">
        <v>120</v>
      </c>
      <c r="BI52" s="39" t="s">
        <v>120</v>
      </c>
      <c r="BJ52" s="39" t="s">
        <v>120</v>
      </c>
      <c r="BK52" s="39" t="s">
        <v>120</v>
      </c>
      <c r="BL52" s="39" t="s">
        <v>120</v>
      </c>
      <c r="BM52" s="39" t="s">
        <v>120</v>
      </c>
      <c r="BN52" s="39" t="s">
        <v>120</v>
      </c>
      <c r="BO52" s="39" t="s">
        <v>120</v>
      </c>
      <c r="BP52" s="39" t="s">
        <v>120</v>
      </c>
      <c r="BQ52" s="39" t="s">
        <v>283</v>
      </c>
      <c r="BR52" s="39" t="s">
        <v>1053</v>
      </c>
      <c r="BS52" s="39" t="s">
        <v>1053</v>
      </c>
      <c r="BT52" s="39" t="s">
        <v>1054</v>
      </c>
      <c r="BU52" s="39" t="s">
        <v>1055</v>
      </c>
      <c r="BV52" s="39" t="s">
        <v>1056</v>
      </c>
      <c r="BW52" s="39" t="s">
        <v>120</v>
      </c>
      <c r="BX52" s="39" t="s">
        <v>1057</v>
      </c>
      <c r="BY52" s="39" t="s">
        <v>1058</v>
      </c>
      <c r="BZ52" s="39" t="s">
        <v>894</v>
      </c>
      <c r="CA52" s="39" t="s">
        <v>120</v>
      </c>
      <c r="CB52" s="39" t="s">
        <v>120</v>
      </c>
      <c r="CC52" s="39" t="s">
        <v>120</v>
      </c>
      <c r="CD52" s="39" t="s">
        <v>120</v>
      </c>
      <c r="CE52" s="39" t="s">
        <v>120</v>
      </c>
      <c r="CF52" s="39" t="s">
        <v>120</v>
      </c>
      <c r="CG52" s="39" t="s">
        <v>120</v>
      </c>
      <c r="CH52" s="39" t="s">
        <v>120</v>
      </c>
      <c r="CI52" s="39" t="s">
        <v>120</v>
      </c>
      <c r="CJ52" s="39" t="s">
        <v>120</v>
      </c>
      <c r="CK52" s="39" t="s">
        <v>120</v>
      </c>
      <c r="CL52" s="39" t="s">
        <v>120</v>
      </c>
      <c r="CM52" s="39" t="s">
        <v>120</v>
      </c>
      <c r="CN52" s="39" t="s">
        <v>120</v>
      </c>
      <c r="CO52" s="39" t="s">
        <v>120</v>
      </c>
      <c r="CP52" s="39" t="s">
        <v>120</v>
      </c>
      <c r="CQ52" s="39" t="s">
        <v>120</v>
      </c>
      <c r="CR52" s="39" t="s">
        <v>120</v>
      </c>
      <c r="CS52" s="39" t="s">
        <v>120</v>
      </c>
      <c r="CT52" s="39" t="s">
        <v>120</v>
      </c>
      <c r="CU52" s="39" t="s">
        <v>120</v>
      </c>
      <c r="CV52" s="39" t="s">
        <v>120</v>
      </c>
      <c r="CW52" s="39" t="s">
        <v>120</v>
      </c>
      <c r="CX52" s="39" t="s">
        <v>120</v>
      </c>
      <c r="CY52" s="39" t="s">
        <v>120</v>
      </c>
      <c r="CZ52" s="39" t="s">
        <v>120</v>
      </c>
      <c r="DA52" s="39" t="s">
        <v>120</v>
      </c>
      <c r="DB52" s="39" t="s">
        <v>120</v>
      </c>
      <c r="DC52" s="39" t="s">
        <v>120</v>
      </c>
      <c r="DD52" s="39" t="s">
        <v>120</v>
      </c>
      <c r="DE52" s="39" t="s">
        <v>120</v>
      </c>
      <c r="DF52" s="39" t="s">
        <v>120</v>
      </c>
    </row>
    <row r="53" spans="1:110" s="73" customFormat="1" ht="44.25" customHeight="1">
      <c r="A53" s="73">
        <v>7</v>
      </c>
      <c r="B53" s="73" t="s">
        <v>110</v>
      </c>
      <c r="C53" s="76" t="s">
        <v>1059</v>
      </c>
      <c r="D53" s="73" t="s">
        <v>1060</v>
      </c>
      <c r="E53" s="73" t="s">
        <v>1061</v>
      </c>
      <c r="F53" s="73" t="s">
        <v>1062</v>
      </c>
      <c r="G53" s="73" t="s">
        <v>1063</v>
      </c>
      <c r="H53" s="73">
        <v>41</v>
      </c>
      <c r="I53" s="73" t="s">
        <v>110</v>
      </c>
      <c r="J53" s="73">
        <v>6</v>
      </c>
      <c r="K53" s="73" t="s">
        <v>110</v>
      </c>
      <c r="L53" s="73">
        <v>2025</v>
      </c>
      <c r="M53" s="76" t="s">
        <v>1064</v>
      </c>
      <c r="N53" s="73" t="s">
        <v>110</v>
      </c>
      <c r="O53" s="73" t="s">
        <v>110</v>
      </c>
      <c r="P53" s="73" t="s">
        <v>110</v>
      </c>
      <c r="Q53" s="73" t="s">
        <v>110</v>
      </c>
      <c r="R53" s="73" t="s">
        <v>110</v>
      </c>
      <c r="S53" s="73" t="s">
        <v>450</v>
      </c>
      <c r="T53" s="73" t="s">
        <v>110</v>
      </c>
      <c r="U53" s="73" t="s">
        <v>110</v>
      </c>
      <c r="V53" s="73" t="s">
        <v>1065</v>
      </c>
      <c r="W53" s="73" t="s">
        <v>1066</v>
      </c>
      <c r="X53" s="73" t="s">
        <v>119</v>
      </c>
      <c r="Y53" s="73" t="s">
        <v>120</v>
      </c>
      <c r="Z53" s="73" t="s">
        <v>121</v>
      </c>
      <c r="AA53" s="73" t="s">
        <v>1067</v>
      </c>
      <c r="AB53" s="73" t="s">
        <v>1068</v>
      </c>
      <c r="AC53" s="73" t="s">
        <v>1069</v>
      </c>
      <c r="AD53" s="73" t="s">
        <v>1070</v>
      </c>
      <c r="AE53" s="74" t="s">
        <v>181</v>
      </c>
      <c r="AH53" s="73" t="s">
        <v>120</v>
      </c>
      <c r="AI53" s="73" t="s">
        <v>128</v>
      </c>
      <c r="AJ53" s="73" t="s">
        <v>183</v>
      </c>
      <c r="AK53" s="73" t="s">
        <v>130</v>
      </c>
      <c r="AL53" s="73" t="s">
        <v>131</v>
      </c>
      <c r="AM53" s="73" t="s">
        <v>132</v>
      </c>
      <c r="AN53" s="73" t="s">
        <v>1071</v>
      </c>
      <c r="AO53" s="73" t="s">
        <v>318</v>
      </c>
      <c r="AP53" s="73" t="s">
        <v>134</v>
      </c>
      <c r="AQ53" s="73" t="s">
        <v>120</v>
      </c>
      <c r="AR53" s="73" t="s">
        <v>120</v>
      </c>
      <c r="AS53" s="73" t="s">
        <v>120</v>
      </c>
      <c r="AT53" s="73" t="s">
        <v>135</v>
      </c>
      <c r="AU53" s="73" t="s">
        <v>242</v>
      </c>
      <c r="AV53" s="73" t="s">
        <v>1010</v>
      </c>
      <c r="AW53" s="73" t="s">
        <v>120</v>
      </c>
      <c r="AX53" s="73">
        <v>50</v>
      </c>
      <c r="AY53" s="73" t="s">
        <v>228</v>
      </c>
      <c r="AZ53" s="73" t="s">
        <v>1072</v>
      </c>
      <c r="BA53" s="73" t="s">
        <v>1073</v>
      </c>
      <c r="BB53" s="73" t="s">
        <v>120</v>
      </c>
      <c r="BC53" s="73" t="s">
        <v>120</v>
      </c>
      <c r="BD53" s="73" t="s">
        <v>120</v>
      </c>
      <c r="BE53" s="73" t="s">
        <v>120</v>
      </c>
      <c r="BF53" s="73" t="s">
        <v>120</v>
      </c>
      <c r="BG53" s="73" t="s">
        <v>120</v>
      </c>
      <c r="BH53" s="73" t="s">
        <v>120</v>
      </c>
      <c r="BI53" s="73" t="s">
        <v>120</v>
      </c>
      <c r="BJ53" s="73" t="s">
        <v>120</v>
      </c>
      <c r="BK53" s="73" t="s">
        <v>120</v>
      </c>
      <c r="BL53" s="73" t="s">
        <v>120</v>
      </c>
      <c r="BM53" s="73" t="s">
        <v>120</v>
      </c>
      <c r="BN53" s="73" t="s">
        <v>120</v>
      </c>
      <c r="BO53" s="73" t="s">
        <v>120</v>
      </c>
      <c r="BP53" s="73" t="s">
        <v>120</v>
      </c>
      <c r="BQ53" s="73" t="s">
        <v>320</v>
      </c>
      <c r="BR53" s="73" t="s">
        <v>1074</v>
      </c>
      <c r="BS53" s="73" t="s">
        <v>1075</v>
      </c>
      <c r="BT53" s="73" t="s">
        <v>1076</v>
      </c>
      <c r="BU53" s="73" t="s">
        <v>1077</v>
      </c>
      <c r="BV53" s="73" t="s">
        <v>120</v>
      </c>
      <c r="BW53" s="73" t="s">
        <v>120</v>
      </c>
      <c r="BX53" s="73" t="s">
        <v>345</v>
      </c>
      <c r="BY53" s="73" t="s">
        <v>1078</v>
      </c>
      <c r="BZ53" s="73" t="s">
        <v>172</v>
      </c>
      <c r="CA53" s="73" t="s">
        <v>120</v>
      </c>
      <c r="CB53" s="73" t="s">
        <v>120</v>
      </c>
      <c r="CC53" s="73" t="s">
        <v>120</v>
      </c>
      <c r="CD53" s="73" t="s">
        <v>120</v>
      </c>
      <c r="CE53" s="73" t="s">
        <v>120</v>
      </c>
      <c r="CF53" s="73" t="s">
        <v>120</v>
      </c>
      <c r="CG53" s="73" t="s">
        <v>120</v>
      </c>
      <c r="CH53" s="73" t="s">
        <v>120</v>
      </c>
      <c r="CI53" s="73" t="s">
        <v>120</v>
      </c>
      <c r="CJ53" s="73" t="s">
        <v>120</v>
      </c>
      <c r="CK53" s="73" t="s">
        <v>120</v>
      </c>
      <c r="CL53" s="73" t="s">
        <v>120</v>
      </c>
      <c r="CM53" s="73" t="s">
        <v>120</v>
      </c>
      <c r="CN53" s="73" t="s">
        <v>120</v>
      </c>
      <c r="CO53" s="73" t="s">
        <v>120</v>
      </c>
      <c r="CP53" s="73" t="s">
        <v>120</v>
      </c>
      <c r="CQ53" s="73" t="s">
        <v>120</v>
      </c>
      <c r="CR53" s="73" t="s">
        <v>120</v>
      </c>
      <c r="CS53" s="73" t="s">
        <v>120</v>
      </c>
      <c r="CT53" s="73" t="s">
        <v>120</v>
      </c>
      <c r="CU53" s="73" t="s">
        <v>120</v>
      </c>
      <c r="CV53" s="73" t="s">
        <v>120</v>
      </c>
      <c r="CW53" s="73" t="s">
        <v>120</v>
      </c>
      <c r="CX53" s="73" t="s">
        <v>120</v>
      </c>
      <c r="CY53" s="73" t="s">
        <v>120</v>
      </c>
      <c r="CZ53" s="73" t="s">
        <v>120</v>
      </c>
      <c r="DA53" s="73" t="s">
        <v>120</v>
      </c>
      <c r="DB53" s="73" t="s">
        <v>120</v>
      </c>
      <c r="DC53" s="73" t="s">
        <v>120</v>
      </c>
      <c r="DD53" s="73" t="s">
        <v>120</v>
      </c>
      <c r="DE53" s="73" t="s">
        <v>120</v>
      </c>
      <c r="DF53" s="73" t="s">
        <v>120</v>
      </c>
    </row>
    <row r="54" spans="1:110" s="73" customFormat="1" ht="45.75">
      <c r="A54" s="73">
        <v>7</v>
      </c>
      <c r="B54" s="73" t="s">
        <v>110</v>
      </c>
      <c r="C54" s="76" t="s">
        <v>1079</v>
      </c>
      <c r="D54" s="73" t="s">
        <v>938</v>
      </c>
      <c r="E54" s="73" t="s">
        <v>939</v>
      </c>
      <c r="F54" s="73" t="s">
        <v>940</v>
      </c>
      <c r="G54" s="73" t="s">
        <v>941</v>
      </c>
      <c r="H54" s="73">
        <v>6</v>
      </c>
      <c r="I54" s="73" t="s">
        <v>110</v>
      </c>
      <c r="J54" s="73">
        <v>12</v>
      </c>
      <c r="K54" s="73" t="s">
        <v>110</v>
      </c>
      <c r="L54" s="73">
        <v>2025</v>
      </c>
      <c r="M54" s="76" t="s">
        <v>942</v>
      </c>
      <c r="N54" s="73" t="s">
        <v>110</v>
      </c>
      <c r="O54" s="73" t="s">
        <v>110</v>
      </c>
      <c r="P54" s="73" t="s">
        <v>110</v>
      </c>
      <c r="Q54" s="73" t="s">
        <v>110</v>
      </c>
      <c r="R54" s="73" t="s">
        <v>110</v>
      </c>
      <c r="S54" s="73" t="s">
        <v>943</v>
      </c>
      <c r="T54" s="73" t="s">
        <v>110</v>
      </c>
      <c r="U54" s="73" t="s">
        <v>110</v>
      </c>
      <c r="V54" s="73" t="s">
        <v>944</v>
      </c>
      <c r="W54" s="73" t="s">
        <v>110</v>
      </c>
      <c r="X54" s="73" t="s">
        <v>119</v>
      </c>
      <c r="Y54" s="73" t="s">
        <v>119</v>
      </c>
      <c r="Z54" s="73" t="s">
        <v>675</v>
      </c>
      <c r="AD54" s="74" t="s">
        <v>1080</v>
      </c>
      <c r="AE54" s="74" t="s">
        <v>181</v>
      </c>
      <c r="AI54" s="73" t="s">
        <v>681</v>
      </c>
      <c r="AJ54" s="73" t="s">
        <v>581</v>
      </c>
      <c r="AK54" s="73" t="s">
        <v>682</v>
      </c>
      <c r="AL54" s="73" t="s">
        <v>683</v>
      </c>
      <c r="AM54" s="73" t="s">
        <v>684</v>
      </c>
      <c r="AO54" s="73" t="s">
        <v>187</v>
      </c>
      <c r="AP54" s="73" t="s">
        <v>1081</v>
      </c>
      <c r="AT54" s="73" t="s">
        <v>135</v>
      </c>
      <c r="AU54" s="73" t="s">
        <v>730</v>
      </c>
      <c r="AV54" s="73" t="s">
        <v>1082</v>
      </c>
      <c r="AW54" s="73" t="s">
        <v>730</v>
      </c>
      <c r="AX54" s="73">
        <v>8</v>
      </c>
      <c r="AY54" s="73" t="s">
        <v>228</v>
      </c>
      <c r="AZ54" s="73" t="s">
        <v>952</v>
      </c>
      <c r="BQ54" s="73" t="s">
        <v>1083</v>
      </c>
      <c r="BR54" s="73" t="s">
        <v>1084</v>
      </c>
      <c r="BT54" s="38" t="s">
        <v>1085</v>
      </c>
      <c r="BU54" s="74" t="s">
        <v>1086</v>
      </c>
      <c r="BX54" s="73" t="s">
        <v>1087</v>
      </c>
      <c r="BY54" s="73" t="s">
        <v>171</v>
      </c>
      <c r="BZ54" s="74" t="s">
        <v>894</v>
      </c>
    </row>
  </sheetData>
  <hyperlinks>
    <hyperlink ref="C18" r:id="rId1" xr:uid="{E76E818C-95D7-4696-A46B-1EF09C9FB2AA}"/>
    <hyperlink ref="M18" r:id="rId2" xr:uid="{2BFA9FD8-DDC5-4ED3-B080-CF8950B18885}"/>
    <hyperlink ref="M20" r:id="rId3" xr:uid="{138B1323-5E63-4027-939D-E2F2A07FE094}"/>
    <hyperlink ref="C21" r:id="rId4" xr:uid="{421AE1DE-FF9C-4A61-9BF5-AD270D2E2B06}"/>
    <hyperlink ref="M21" r:id="rId5" xr:uid="{117601BB-13FF-4C1B-8230-F26DAABC1868}"/>
    <hyperlink ref="M22" r:id="rId6" xr:uid="{4F4E7739-4FFA-48F5-90B4-D35337BD0948}"/>
    <hyperlink ref="C22" r:id="rId7" xr:uid="{F325D928-AFA9-4F2C-8E63-7664E011F0FA}"/>
    <hyperlink ref="C23" r:id="rId8" xr:uid="{65861184-D192-4CD3-9240-3DA9AF61B616}"/>
    <hyperlink ref="M23" r:id="rId9" xr:uid="{BBFDF4F4-7688-4255-8AD3-D4C66A2EE2FC}"/>
    <hyperlink ref="M24" r:id="rId10" xr:uid="{8CDD551D-0922-4C60-A368-A1C5A828183C}"/>
    <hyperlink ref="M30" r:id="rId11" xr:uid="{11604C83-4271-484E-B7CE-7BA9B2D15E00}"/>
    <hyperlink ref="M28" r:id="rId12" xr:uid="{72D39B38-F9CB-4154-86F6-974A0EDBFB37}"/>
    <hyperlink ref="C31" r:id="rId13" xr:uid="{431171C4-7BC4-486A-A887-BD907C93E609}"/>
    <hyperlink ref="M31" r:id="rId14" xr:uid="{14EDBFFA-CC7A-403A-AC28-F9567773F515}"/>
    <hyperlink ref="C32" r:id="rId15" xr:uid="{A65DBCDF-EBB2-44EB-A0FB-2109599DD3F8}"/>
    <hyperlink ref="M32" r:id="rId16" xr:uid="{B9C73E44-F10A-42D8-B0AF-676A58B164CF}"/>
    <hyperlink ref="M33" r:id="rId17" xr:uid="{1DD98545-F4F5-4C8D-B4C8-AE0B83929DC8}"/>
    <hyperlink ref="C34" r:id="rId18" xr:uid="{BFA9D88C-1671-432E-919F-8ED7F107896C}"/>
    <hyperlink ref="M34" r:id="rId19" xr:uid="{0CBEC56B-6B95-4C2B-B0DE-7073BA44D80D}"/>
    <hyperlink ref="C35" r:id="rId20" xr:uid="{DE3C23CC-8D09-43A5-AF5C-00D98CE4839A}"/>
    <hyperlink ref="M35" r:id="rId21" xr:uid="{7EF49CAE-A9C1-438F-BDDE-D1F4DF991001}"/>
    <hyperlink ref="C36" r:id="rId22" xr:uid="{5D147520-C840-452D-B5D2-D21018C99CE2}"/>
    <hyperlink ref="M36" r:id="rId23" xr:uid="{C964DCE7-596A-49BD-B533-1E2205297550}"/>
    <hyperlink ref="C37" r:id="rId24" xr:uid="{ACFA6D88-A3BE-4269-AF88-9E36BF2E83DC}"/>
    <hyperlink ref="M37" r:id="rId25" xr:uid="{700EFDE6-4F1C-493D-BC1D-E189B5F9D71D}"/>
    <hyperlink ref="M38" r:id="rId26" xr:uid="{F75034A4-FD9E-4B68-B6E0-06F2FE6020F1}"/>
    <hyperlink ref="C38" r:id="rId27" xr:uid="{A5041667-13AD-4DEE-B927-6499D366D138}"/>
    <hyperlink ref="M39" r:id="rId28" xr:uid="{8D333ED4-B046-4C41-AD08-047ED61FEE48}"/>
    <hyperlink ref="M42" r:id="rId29" xr:uid="{15B03DC3-1D6D-4A4F-8050-528440C814DC}"/>
    <hyperlink ref="C44" r:id="rId30" xr:uid="{84039132-9223-416E-A727-6BA9283FE445}"/>
    <hyperlink ref="M44" r:id="rId31" xr:uid="{C221F6E8-A139-41A7-A571-04CA73E345C2}"/>
    <hyperlink ref="C45" r:id="rId32" xr:uid="{3A78BBA7-FC9C-4251-9093-2ABE14307CD0}"/>
    <hyperlink ref="M45" r:id="rId33" xr:uid="{E3F0DFF8-EDCF-4E0F-B803-BBD7220CE0DD}"/>
    <hyperlink ref="C47" r:id="rId34" xr:uid="{3FC59598-DFD5-45CB-8204-AE6A3A6533F1}"/>
    <hyperlink ref="M47" r:id="rId35" xr:uid="{48C89295-2861-4919-8F8C-2C04239DF898}"/>
    <hyperlink ref="C48" r:id="rId36" xr:uid="{7CDB9D09-9693-40C4-9DC1-FD04AB8821F3}"/>
    <hyperlink ref="M48" r:id="rId37" xr:uid="{D0992CBD-8D55-472D-B137-81F5793F4E22}"/>
    <hyperlink ref="C51" r:id="rId38" xr:uid="{6719075A-7F62-4BEA-BA4E-AB932ABA7EA8}"/>
    <hyperlink ref="M51" r:id="rId39" xr:uid="{33BA100A-F416-4A2E-B0F2-DD26C761D280}"/>
    <hyperlink ref="C53" r:id="rId40" xr:uid="{9C5915A5-7AAD-49DE-9DB5-241512A53341}"/>
    <hyperlink ref="M53" r:id="rId41" xr:uid="{BA5741BF-597D-475A-8870-DE1F985DEA73}"/>
    <hyperlink ref="C54" r:id="rId42" xr:uid="{8F8CF786-8886-4651-AF02-89E3A0A29FBB}"/>
    <hyperlink ref="M54" r:id="rId43" xr:uid="{4BC2DD43-B86B-4A62-88C1-2FCB976A8A66}"/>
  </hyperlinks>
  <pageMargins left="0.7" right="0.7" top="0.75" bottom="0.75" header="0.3" footer="0.3"/>
  <pageSetup orientation="portrait" r:id="rId44"/>
  <legacyDrawing r:id="rId45"/>
  <tableParts count="1">
    <tablePart r:id="rId4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DCB5F-B221-428C-8E8D-6012641687EC}">
  <dimension ref="B3:L8"/>
  <sheetViews>
    <sheetView workbookViewId="0">
      <selection activeCell="O8" sqref="O8"/>
    </sheetView>
  </sheetViews>
  <sheetFormatPr defaultColWidth="11.42578125" defaultRowHeight="15"/>
  <cols>
    <col min="5" max="5" width="13.7109375" customWidth="1"/>
    <col min="8" max="8" width="12.28515625" customWidth="1"/>
    <col min="11" max="11" width="15.42578125" customWidth="1"/>
  </cols>
  <sheetData>
    <row r="3" spans="2:12">
      <c r="B3" s="3" t="s">
        <v>875</v>
      </c>
      <c r="C3" s="2" t="s">
        <v>877</v>
      </c>
      <c r="D3" s="2" t="s">
        <v>878</v>
      </c>
      <c r="E3" s="1" t="s">
        <v>121</v>
      </c>
      <c r="F3" s="1" t="s">
        <v>1088</v>
      </c>
      <c r="G3" s="1" t="s">
        <v>1089</v>
      </c>
      <c r="H3" s="1" t="s">
        <v>887</v>
      </c>
      <c r="I3" s="1" t="s">
        <v>1090</v>
      </c>
      <c r="J3" s="1" t="s">
        <v>893</v>
      </c>
      <c r="K3" s="1" t="s">
        <v>894</v>
      </c>
    </row>
    <row r="7" spans="2:12" ht="60">
      <c r="C7" s="22" t="s">
        <v>2</v>
      </c>
      <c r="D7" s="22" t="s">
        <v>4</v>
      </c>
      <c r="E7" s="22" t="s">
        <v>5</v>
      </c>
      <c r="F7" s="23" t="s">
        <v>25</v>
      </c>
      <c r="G7" s="24" t="s">
        <v>36</v>
      </c>
      <c r="H7" s="25" t="s">
        <v>45</v>
      </c>
      <c r="I7" s="25" t="s">
        <v>47</v>
      </c>
      <c r="J7" s="26" t="s">
        <v>75</v>
      </c>
      <c r="K7" s="26" t="s">
        <v>76</v>
      </c>
      <c r="L7" s="26" t="s">
        <v>77</v>
      </c>
    </row>
    <row r="8" spans="2:12" ht="93" customHeight="1">
      <c r="C8" s="27" t="s">
        <v>875</v>
      </c>
      <c r="D8" s="28" t="s">
        <v>877</v>
      </c>
      <c r="E8" s="28" t="s">
        <v>878</v>
      </c>
      <c r="F8" s="29" t="s">
        <v>121</v>
      </c>
      <c r="G8" s="29" t="s">
        <v>1088</v>
      </c>
      <c r="H8" s="29" t="s">
        <v>1089</v>
      </c>
      <c r="I8" s="29" t="s">
        <v>887</v>
      </c>
      <c r="J8" s="29" t="s">
        <v>1090</v>
      </c>
      <c r="K8" s="29" t="s">
        <v>893</v>
      </c>
      <c r="L8" s="29" t="s">
        <v>894</v>
      </c>
    </row>
  </sheetData>
  <hyperlinks>
    <hyperlink ref="B3" r:id="rId1" xr:uid="{9AB53912-E7AA-4885-84CC-43744B148B2B}"/>
    <hyperlink ref="C8" r:id="rId2" xr:uid="{B6200EBD-D228-44C2-AFC7-7F2FE1ECC5B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4F61-DD79-4E48-8959-05C8E0AA083F}">
  <dimension ref="A1:J114"/>
  <sheetViews>
    <sheetView topLeftCell="A45" workbookViewId="0">
      <selection activeCell="E101" sqref="E101"/>
    </sheetView>
  </sheetViews>
  <sheetFormatPr defaultRowHeight="15"/>
  <cols>
    <col min="1" max="1" width="13.42578125" customWidth="1"/>
    <col min="2" max="3" width="35.85546875" customWidth="1"/>
    <col min="4" max="4" width="54" customWidth="1"/>
    <col min="5" max="5" width="168" customWidth="1"/>
    <col min="6" max="6" width="10.42578125" customWidth="1"/>
    <col min="7" max="7" width="14.140625" customWidth="1"/>
    <col min="8" max="8" width="16.42578125" customWidth="1"/>
    <col min="9" max="9" width="30.7109375" customWidth="1"/>
  </cols>
  <sheetData>
    <row r="1" spans="1:10">
      <c r="A1" s="82" t="s">
        <v>1091</v>
      </c>
      <c r="B1" s="83"/>
      <c r="C1" s="83"/>
      <c r="D1" s="83"/>
      <c r="E1" s="83"/>
      <c r="F1" s="83"/>
      <c r="G1" s="53"/>
      <c r="H1" s="54"/>
      <c r="I1" s="54"/>
      <c r="J1" s="54"/>
    </row>
    <row r="2" spans="1:10">
      <c r="A2" s="84"/>
      <c r="B2" s="85"/>
      <c r="C2" s="85"/>
      <c r="D2" s="85"/>
      <c r="E2" s="85"/>
      <c r="F2" s="85"/>
      <c r="G2" s="53"/>
      <c r="H2" s="54"/>
      <c r="I2" s="54"/>
      <c r="J2" s="54"/>
    </row>
    <row r="3" spans="1:10">
      <c r="A3" s="84"/>
      <c r="B3" s="85"/>
      <c r="C3" s="85"/>
      <c r="D3" s="85"/>
      <c r="E3" s="85"/>
      <c r="F3" s="85"/>
      <c r="G3" s="53"/>
      <c r="H3" s="54"/>
      <c r="I3" s="54"/>
      <c r="J3" s="54"/>
    </row>
    <row r="4" spans="1:10">
      <c r="A4" s="7" t="s">
        <v>1092</v>
      </c>
      <c r="B4" s="7" t="s">
        <v>1093</v>
      </c>
      <c r="C4" s="7" t="s">
        <v>1094</v>
      </c>
      <c r="D4" s="7" t="s">
        <v>1095</v>
      </c>
      <c r="E4" s="61" t="s">
        <v>1096</v>
      </c>
      <c r="F4" s="7" t="s">
        <v>1097</v>
      </c>
      <c r="G4" s="8" t="s">
        <v>1098</v>
      </c>
      <c r="H4" s="54"/>
      <c r="I4" s="54"/>
    </row>
    <row r="5" spans="1:10" ht="30.75">
      <c r="B5" s="55" t="s">
        <v>1099</v>
      </c>
      <c r="C5" s="55" t="s">
        <v>1100</v>
      </c>
      <c r="D5" t="s">
        <v>0</v>
      </c>
      <c r="E5" s="63" t="s">
        <v>1101</v>
      </c>
      <c r="G5" t="s">
        <v>1102</v>
      </c>
    </row>
    <row r="6" spans="1:10">
      <c r="A6" s="59"/>
      <c r="B6" s="55" t="s">
        <v>1099</v>
      </c>
      <c r="C6" s="55" t="s">
        <v>1100</v>
      </c>
      <c r="D6" s="59" t="s">
        <v>1</v>
      </c>
      <c r="E6" s="62" t="s">
        <v>1103</v>
      </c>
      <c r="F6" s="59"/>
      <c r="G6" s="59" t="s">
        <v>1102</v>
      </c>
    </row>
    <row r="7" spans="1:10">
      <c r="A7" s="59"/>
      <c r="B7" s="55" t="s">
        <v>1099</v>
      </c>
      <c r="C7" s="55" t="s">
        <v>1100</v>
      </c>
      <c r="D7" s="59" t="s">
        <v>2</v>
      </c>
      <c r="E7" s="59" t="s">
        <v>1104</v>
      </c>
      <c r="F7" s="59"/>
      <c r="G7" s="9" t="s">
        <v>1105</v>
      </c>
    </row>
    <row r="8" spans="1:10">
      <c r="A8" s="59"/>
      <c r="B8" s="55" t="s">
        <v>1099</v>
      </c>
      <c r="C8" s="55" t="s">
        <v>1100</v>
      </c>
      <c r="D8" s="59" t="s">
        <v>3</v>
      </c>
      <c r="E8" s="59" t="s">
        <v>1106</v>
      </c>
      <c r="F8" s="59"/>
      <c r="G8" s="59" t="s">
        <v>1105</v>
      </c>
    </row>
    <row r="9" spans="1:10">
      <c r="A9" s="59"/>
      <c r="B9" s="55" t="s">
        <v>1099</v>
      </c>
      <c r="C9" s="55" t="s">
        <v>1100</v>
      </c>
      <c r="D9" s="59" t="s">
        <v>4</v>
      </c>
      <c r="E9" s="59" t="s">
        <v>1107</v>
      </c>
      <c r="F9" s="59"/>
      <c r="G9" s="9" t="s">
        <v>1108</v>
      </c>
    </row>
    <row r="10" spans="1:10">
      <c r="A10" s="59"/>
      <c r="B10" s="55" t="s">
        <v>1099</v>
      </c>
      <c r="C10" s="55" t="s">
        <v>1100</v>
      </c>
      <c r="D10" s="59" t="s">
        <v>5</v>
      </c>
      <c r="E10" s="59" t="s">
        <v>1109</v>
      </c>
      <c r="F10" s="59"/>
      <c r="G10" s="9" t="s">
        <v>1105</v>
      </c>
    </row>
    <row r="11" spans="1:10">
      <c r="A11" s="59"/>
      <c r="B11" s="55" t="s">
        <v>1099</v>
      </c>
      <c r="C11" s="55" t="s">
        <v>1100</v>
      </c>
      <c r="D11" s="59" t="s">
        <v>6</v>
      </c>
      <c r="E11" s="59" t="s">
        <v>1110</v>
      </c>
      <c r="F11" s="59"/>
      <c r="G11" s="59" t="s">
        <v>1108</v>
      </c>
    </row>
    <row r="12" spans="1:10">
      <c r="A12" s="59"/>
      <c r="B12" s="55" t="s">
        <v>1099</v>
      </c>
      <c r="C12" s="55" t="s">
        <v>1100</v>
      </c>
      <c r="D12" s="59" t="s">
        <v>7</v>
      </c>
      <c r="E12" s="59" t="s">
        <v>1111</v>
      </c>
      <c r="F12" s="59"/>
      <c r="G12" s="59" t="s">
        <v>1102</v>
      </c>
    </row>
    <row r="13" spans="1:10">
      <c r="A13" s="59"/>
      <c r="B13" s="55" t="s">
        <v>1099</v>
      </c>
      <c r="C13" s="55" t="s">
        <v>1100</v>
      </c>
      <c r="D13" s="59" t="s">
        <v>8</v>
      </c>
      <c r="E13" s="59" t="s">
        <v>1112</v>
      </c>
      <c r="F13" s="59"/>
      <c r="G13" s="59" t="s">
        <v>1102</v>
      </c>
    </row>
    <row r="14" spans="1:10">
      <c r="A14" s="59"/>
      <c r="B14" s="55" t="s">
        <v>1099</v>
      </c>
      <c r="C14" s="55" t="s">
        <v>1100</v>
      </c>
      <c r="D14" s="59" t="s">
        <v>9</v>
      </c>
      <c r="E14" s="59" t="s">
        <v>1113</v>
      </c>
      <c r="F14" s="59"/>
      <c r="G14" s="59" t="s">
        <v>1102</v>
      </c>
    </row>
    <row r="15" spans="1:10">
      <c r="A15" s="59"/>
      <c r="B15" s="55" t="s">
        <v>1099</v>
      </c>
      <c r="C15" s="55" t="s">
        <v>1100</v>
      </c>
      <c r="D15" s="59" t="s">
        <v>10</v>
      </c>
      <c r="E15" s="59" t="s">
        <v>1114</v>
      </c>
      <c r="F15" s="59"/>
      <c r="G15" s="59" t="s">
        <v>1102</v>
      </c>
    </row>
    <row r="16" spans="1:10">
      <c r="A16" s="59"/>
      <c r="B16" s="55" t="s">
        <v>1099</v>
      </c>
      <c r="C16" s="55" t="s">
        <v>1100</v>
      </c>
      <c r="D16" s="59" t="s">
        <v>11</v>
      </c>
      <c r="E16" s="59" t="s">
        <v>1115</v>
      </c>
      <c r="F16" s="59"/>
      <c r="G16" s="59" t="s">
        <v>1102</v>
      </c>
    </row>
    <row r="17" spans="1:9">
      <c r="A17" s="59"/>
      <c r="B17" s="55" t="s">
        <v>1099</v>
      </c>
      <c r="C17" s="55" t="s">
        <v>1100</v>
      </c>
      <c r="D17" s="59" t="s">
        <v>12</v>
      </c>
      <c r="E17" s="59" t="s">
        <v>1116</v>
      </c>
      <c r="F17" s="59"/>
      <c r="G17" s="9" t="s">
        <v>1105</v>
      </c>
    </row>
    <row r="18" spans="1:9">
      <c r="A18" s="59"/>
      <c r="B18" s="55" t="s">
        <v>1099</v>
      </c>
      <c r="C18" s="55" t="s">
        <v>1100</v>
      </c>
      <c r="D18" s="59" t="s">
        <v>13</v>
      </c>
      <c r="E18" s="59" t="s">
        <v>1117</v>
      </c>
      <c r="F18" s="59"/>
      <c r="G18" s="59" t="s">
        <v>1108</v>
      </c>
    </row>
    <row r="19" spans="1:9">
      <c r="A19" s="59"/>
      <c r="B19" s="55" t="s">
        <v>1099</v>
      </c>
      <c r="C19" s="55" t="s">
        <v>1100</v>
      </c>
      <c r="D19" s="59" t="s">
        <v>14</v>
      </c>
      <c r="E19" s="59" t="s">
        <v>1118</v>
      </c>
      <c r="F19" s="59"/>
      <c r="G19" s="59" t="s">
        <v>1105</v>
      </c>
    </row>
    <row r="20" spans="1:9">
      <c r="A20" s="59"/>
      <c r="B20" s="55" t="s">
        <v>1099</v>
      </c>
      <c r="C20" s="55" t="s">
        <v>1100</v>
      </c>
      <c r="D20" s="59" t="s">
        <v>15</v>
      </c>
      <c r="E20" s="59" t="s">
        <v>1119</v>
      </c>
      <c r="F20" s="59"/>
      <c r="G20" s="59" t="s">
        <v>1105</v>
      </c>
    </row>
    <row r="21" spans="1:9">
      <c r="A21" s="59"/>
      <c r="B21" s="55" t="s">
        <v>1099</v>
      </c>
      <c r="C21" s="55" t="s">
        <v>1100</v>
      </c>
      <c r="D21" s="59" t="s">
        <v>16</v>
      </c>
      <c r="E21" s="59" t="s">
        <v>1120</v>
      </c>
      <c r="F21" s="59"/>
      <c r="G21" s="59" t="s">
        <v>1102</v>
      </c>
    </row>
    <row r="22" spans="1:9">
      <c r="A22" s="59"/>
      <c r="B22" s="55" t="s">
        <v>1099</v>
      </c>
      <c r="C22" s="55" t="s">
        <v>1100</v>
      </c>
      <c r="D22" s="59" t="s">
        <v>17</v>
      </c>
      <c r="E22" s="59" t="s">
        <v>1121</v>
      </c>
      <c r="F22" s="59"/>
      <c r="G22" s="59" t="s">
        <v>1108</v>
      </c>
    </row>
    <row r="23" spans="1:9">
      <c r="A23" s="59"/>
      <c r="B23" s="55" t="s">
        <v>1099</v>
      </c>
      <c r="C23" s="55" t="s">
        <v>1100</v>
      </c>
      <c r="D23" s="59" t="s">
        <v>18</v>
      </c>
      <c r="E23" s="59" t="s">
        <v>1122</v>
      </c>
      <c r="F23" s="59"/>
      <c r="G23" s="59" t="s">
        <v>1108</v>
      </c>
    </row>
    <row r="24" spans="1:9">
      <c r="A24" s="59"/>
      <c r="B24" s="55" t="s">
        <v>1099</v>
      </c>
      <c r="C24" s="55" t="s">
        <v>1100</v>
      </c>
      <c r="D24" s="59" t="s">
        <v>19</v>
      </c>
      <c r="E24" s="59" t="s">
        <v>1123</v>
      </c>
      <c r="F24" s="59"/>
      <c r="G24" s="59" t="s">
        <v>1108</v>
      </c>
    </row>
    <row r="25" spans="1:9">
      <c r="A25" s="59"/>
      <c r="B25" s="55" t="s">
        <v>1099</v>
      </c>
      <c r="C25" s="55" t="s">
        <v>1100</v>
      </c>
      <c r="D25" s="59" t="s">
        <v>20</v>
      </c>
      <c r="E25" s="59" t="s">
        <v>1124</v>
      </c>
      <c r="F25" s="59"/>
      <c r="G25" s="59" t="s">
        <v>1108</v>
      </c>
    </row>
    <row r="26" spans="1:9">
      <c r="A26" s="59"/>
      <c r="B26" s="55" t="s">
        <v>1099</v>
      </c>
      <c r="C26" s="55" t="s">
        <v>1100</v>
      </c>
      <c r="D26" s="59" t="s">
        <v>21</v>
      </c>
      <c r="E26" s="59" t="s">
        <v>1125</v>
      </c>
      <c r="F26" s="59"/>
      <c r="G26" s="59" t="s">
        <v>1105</v>
      </c>
    </row>
    <row r="27" spans="1:9">
      <c r="A27" s="59"/>
      <c r="B27" s="55" t="s">
        <v>1099</v>
      </c>
      <c r="C27" s="55" t="s">
        <v>1100</v>
      </c>
      <c r="D27" s="59" t="s">
        <v>22</v>
      </c>
      <c r="E27" s="59" t="s">
        <v>1126</v>
      </c>
      <c r="F27" s="59"/>
      <c r="G27" s="59" t="s">
        <v>1108</v>
      </c>
    </row>
    <row r="28" spans="1:9">
      <c r="A28" s="55"/>
      <c r="B28" s="55" t="s">
        <v>1099</v>
      </c>
      <c r="C28" s="55" t="s">
        <v>1100</v>
      </c>
      <c r="D28" s="9" t="s">
        <v>23</v>
      </c>
      <c r="E28" s="9" t="s">
        <v>1127</v>
      </c>
      <c r="F28" s="9"/>
      <c r="G28" s="9" t="s">
        <v>1108</v>
      </c>
      <c r="H28" s="54"/>
      <c r="I28" s="54"/>
    </row>
    <row r="29" spans="1:9">
      <c r="A29" s="9"/>
      <c r="B29" s="10" t="s">
        <v>1099</v>
      </c>
      <c r="C29" s="10" t="s">
        <v>1100</v>
      </c>
      <c r="D29" s="9" t="s">
        <v>24</v>
      </c>
      <c r="E29" s="9" t="s">
        <v>1128</v>
      </c>
      <c r="F29" s="9"/>
      <c r="G29" s="9" t="s">
        <v>1108</v>
      </c>
      <c r="H29" s="54"/>
      <c r="I29" s="54"/>
    </row>
    <row r="30" spans="1:9" ht="91.5">
      <c r="A30" s="9"/>
      <c r="B30" s="11" t="s">
        <v>1129</v>
      </c>
      <c r="C30" s="11" t="s">
        <v>1130</v>
      </c>
      <c r="D30" s="55" t="s">
        <v>1131</v>
      </c>
      <c r="E30" s="55" t="s">
        <v>1132</v>
      </c>
      <c r="F30" s="55"/>
      <c r="G30" s="12" t="s">
        <v>1108</v>
      </c>
      <c r="H30" s="54"/>
      <c r="I30" s="54"/>
    </row>
    <row r="31" spans="1:9">
      <c r="A31" s="55"/>
      <c r="B31" s="11" t="s">
        <v>1129</v>
      </c>
      <c r="C31" s="11" t="s">
        <v>1130</v>
      </c>
      <c r="D31" s="55" t="s">
        <v>26</v>
      </c>
      <c r="E31" s="55" t="s">
        <v>1133</v>
      </c>
      <c r="F31" s="55"/>
      <c r="G31" s="12" t="s">
        <v>1108</v>
      </c>
      <c r="H31" s="54"/>
      <c r="I31" s="54"/>
    </row>
    <row r="32" spans="1:9">
      <c r="A32" s="9"/>
      <c r="B32" s="11" t="s">
        <v>1129</v>
      </c>
      <c r="C32" s="11" t="s">
        <v>1130</v>
      </c>
      <c r="D32" s="55" t="s">
        <v>27</v>
      </c>
      <c r="E32" s="55" t="s">
        <v>1134</v>
      </c>
      <c r="F32" s="55"/>
      <c r="G32" s="12" t="s">
        <v>1108</v>
      </c>
      <c r="H32" s="54"/>
      <c r="I32" s="54"/>
    </row>
    <row r="33" spans="1:10">
      <c r="A33" s="9"/>
      <c r="B33" s="11" t="s">
        <v>1129</v>
      </c>
      <c r="C33" s="11" t="s">
        <v>1130</v>
      </c>
      <c r="D33" s="55" t="s">
        <v>28</v>
      </c>
      <c r="E33" s="55" t="s">
        <v>1135</v>
      </c>
      <c r="F33" s="13"/>
      <c r="G33" s="12" t="s">
        <v>1108</v>
      </c>
      <c r="H33" s="54"/>
      <c r="I33" s="54"/>
    </row>
    <row r="34" spans="1:10">
      <c r="A34" s="55"/>
      <c r="B34" s="11" t="s">
        <v>1129</v>
      </c>
      <c r="C34" s="11" t="s">
        <v>1130</v>
      </c>
      <c r="D34" s="55" t="s">
        <v>29</v>
      </c>
      <c r="E34" s="13" t="s">
        <v>1136</v>
      </c>
      <c r="F34" s="13"/>
      <c r="G34" s="12" t="s">
        <v>1108</v>
      </c>
      <c r="H34" s="54"/>
      <c r="I34" s="54"/>
    </row>
    <row r="35" spans="1:10">
      <c r="A35" s="9"/>
      <c r="B35" s="11" t="s">
        <v>1129</v>
      </c>
      <c r="C35" s="11" t="s">
        <v>1130</v>
      </c>
      <c r="D35" s="9" t="s">
        <v>30</v>
      </c>
      <c r="E35" s="9" t="s">
        <v>1137</v>
      </c>
      <c r="F35" s="55"/>
      <c r="G35" s="9" t="s">
        <v>1138</v>
      </c>
      <c r="H35" s="54"/>
      <c r="I35" s="54"/>
    </row>
    <row r="36" spans="1:10">
      <c r="A36" s="9"/>
      <c r="B36" s="11" t="s">
        <v>1129</v>
      </c>
      <c r="C36" s="11" t="s">
        <v>1130</v>
      </c>
      <c r="D36" s="9" t="s">
        <v>31</v>
      </c>
      <c r="E36" s="9" t="s">
        <v>1139</v>
      </c>
      <c r="F36" s="9"/>
      <c r="G36" s="9" t="s">
        <v>1138</v>
      </c>
      <c r="H36" s="54"/>
      <c r="I36" s="54"/>
    </row>
    <row r="37" spans="1:10">
      <c r="A37" s="55"/>
      <c r="B37" s="11" t="s">
        <v>1129</v>
      </c>
      <c r="C37" s="11" t="s">
        <v>1130</v>
      </c>
      <c r="D37" s="9" t="s">
        <v>32</v>
      </c>
      <c r="E37" s="9" t="s">
        <v>1140</v>
      </c>
      <c r="F37" s="9"/>
      <c r="G37" s="9" t="s">
        <v>1138</v>
      </c>
      <c r="H37" s="54"/>
      <c r="I37" s="54"/>
    </row>
    <row r="38" spans="1:10">
      <c r="A38" s="9"/>
      <c r="B38" s="11" t="s">
        <v>1129</v>
      </c>
      <c r="C38" s="11" t="s">
        <v>1130</v>
      </c>
      <c r="D38" s="55" t="s">
        <v>33</v>
      </c>
      <c r="E38" s="55" t="s">
        <v>1141</v>
      </c>
      <c r="F38" s="55"/>
      <c r="G38" s="9" t="s">
        <v>1138</v>
      </c>
      <c r="H38" s="54"/>
      <c r="I38" s="54"/>
    </row>
    <row r="39" spans="1:10">
      <c r="A39" s="9"/>
      <c r="B39" s="11" t="s">
        <v>1129</v>
      </c>
      <c r="C39" s="11" t="s">
        <v>1142</v>
      </c>
      <c r="D39" s="55" t="s">
        <v>34</v>
      </c>
      <c r="E39" s="55" t="s">
        <v>1143</v>
      </c>
      <c r="F39" s="55"/>
      <c r="G39" s="55" t="s">
        <v>1108</v>
      </c>
      <c r="H39" s="54"/>
      <c r="I39" s="54"/>
    </row>
    <row r="40" spans="1:10" ht="409.6">
      <c r="A40" s="55"/>
      <c r="B40" s="11" t="s">
        <v>1129</v>
      </c>
      <c r="C40" s="11" t="s">
        <v>1142</v>
      </c>
      <c r="D40" s="55" t="s">
        <v>35</v>
      </c>
      <c r="E40" s="55" t="s">
        <v>1144</v>
      </c>
      <c r="F40" s="14" t="s">
        <v>1145</v>
      </c>
      <c r="G40" s="12" t="s">
        <v>1108</v>
      </c>
      <c r="H40" s="54"/>
      <c r="I40" s="54"/>
    </row>
    <row r="41" spans="1:10" ht="152.25">
      <c r="A41" s="9"/>
      <c r="B41" s="11" t="s">
        <v>1129</v>
      </c>
      <c r="C41" s="11" t="s">
        <v>1142</v>
      </c>
      <c r="D41" s="55" t="s">
        <v>36</v>
      </c>
      <c r="E41" s="55" t="s">
        <v>1146</v>
      </c>
      <c r="F41" s="14" t="s">
        <v>1147</v>
      </c>
      <c r="G41" s="12" t="s">
        <v>1108</v>
      </c>
      <c r="H41" s="54"/>
      <c r="I41" s="54"/>
    </row>
    <row r="42" spans="1:10" ht="409.6">
      <c r="A42" s="9"/>
      <c r="B42" s="11" t="s">
        <v>1129</v>
      </c>
      <c r="C42" s="11" t="s">
        <v>1142</v>
      </c>
      <c r="D42" s="9" t="s">
        <v>37</v>
      </c>
      <c r="E42" s="9" t="s">
        <v>1148</v>
      </c>
      <c r="F42" s="9"/>
      <c r="G42" s="9" t="s">
        <v>1108</v>
      </c>
      <c r="H42" s="54"/>
      <c r="I42" s="54"/>
    </row>
    <row r="43" spans="1:10">
      <c r="A43" s="55"/>
      <c r="B43" s="11" t="s">
        <v>1129</v>
      </c>
      <c r="C43" s="11" t="s">
        <v>1142</v>
      </c>
      <c r="D43" s="9" t="s">
        <v>1149</v>
      </c>
      <c r="E43" s="9" t="s">
        <v>1150</v>
      </c>
      <c r="F43" s="9"/>
      <c r="G43" s="9" t="s">
        <v>1108</v>
      </c>
      <c r="H43" s="54"/>
      <c r="I43" s="54"/>
      <c r="J43" s="60"/>
    </row>
    <row r="44" spans="1:10" ht="409.6">
      <c r="A44" s="9"/>
      <c r="B44" s="11" t="s">
        <v>1129</v>
      </c>
      <c r="C44" s="11" t="s">
        <v>1142</v>
      </c>
      <c r="D44" s="55" t="s">
        <v>39</v>
      </c>
      <c r="E44" s="55" t="s">
        <v>1151</v>
      </c>
      <c r="F44" s="14" t="s">
        <v>1152</v>
      </c>
      <c r="G44" s="12" t="s">
        <v>1108</v>
      </c>
      <c r="H44" s="54"/>
      <c r="I44" s="54"/>
      <c r="J44" s="60"/>
    </row>
    <row r="45" spans="1:10" ht="121.5">
      <c r="A45" s="9"/>
      <c r="B45" s="11" t="s">
        <v>1153</v>
      </c>
      <c r="C45" s="11" t="s">
        <v>1154</v>
      </c>
      <c r="D45" s="15" t="s">
        <v>40</v>
      </c>
      <c r="E45" s="9" t="s">
        <v>1155</v>
      </c>
      <c r="F45" s="9"/>
      <c r="G45" s="9" t="s">
        <v>1108</v>
      </c>
      <c r="H45" s="54"/>
      <c r="I45" s="54"/>
      <c r="J45" s="54"/>
    </row>
    <row r="46" spans="1:10" ht="183">
      <c r="A46" s="55"/>
      <c r="B46" s="11" t="s">
        <v>1153</v>
      </c>
      <c r="C46" s="11" t="s">
        <v>1154</v>
      </c>
      <c r="D46" s="15" t="s">
        <v>41</v>
      </c>
      <c r="E46" s="9" t="s">
        <v>1156</v>
      </c>
      <c r="F46" s="9"/>
      <c r="G46" s="9" t="s">
        <v>1108</v>
      </c>
      <c r="H46" s="54"/>
      <c r="I46" s="54"/>
      <c r="J46" s="54"/>
    </row>
    <row r="47" spans="1:10">
      <c r="A47" s="9"/>
      <c r="B47" s="11" t="s">
        <v>1153</v>
      </c>
      <c r="C47" s="11" t="s">
        <v>1154</v>
      </c>
      <c r="D47" s="15" t="s">
        <v>42</v>
      </c>
      <c r="E47" s="9" t="s">
        <v>1157</v>
      </c>
      <c r="F47" s="9"/>
      <c r="G47" s="9" t="s">
        <v>1102</v>
      </c>
      <c r="H47" s="54"/>
      <c r="I47" s="54"/>
      <c r="J47" s="54"/>
    </row>
    <row r="48" spans="1:10">
      <c r="A48" s="9"/>
      <c r="B48" s="11" t="s">
        <v>1153</v>
      </c>
      <c r="C48" s="11" t="s">
        <v>1154</v>
      </c>
      <c r="D48" s="15" t="s">
        <v>1158</v>
      </c>
      <c r="E48" s="9" t="s">
        <v>1159</v>
      </c>
      <c r="F48" s="9"/>
      <c r="G48" s="9" t="s">
        <v>1102</v>
      </c>
      <c r="H48" s="54"/>
      <c r="I48" s="54"/>
      <c r="J48" s="54"/>
    </row>
    <row r="49" spans="1:10">
      <c r="A49" s="55"/>
      <c r="B49" s="11" t="s">
        <v>1153</v>
      </c>
      <c r="C49" s="11" t="s">
        <v>1154</v>
      </c>
      <c r="D49" s="15" t="s">
        <v>44</v>
      </c>
      <c r="E49" s="9" t="s">
        <v>1160</v>
      </c>
      <c r="F49" s="9"/>
      <c r="G49" s="9" t="s">
        <v>1108</v>
      </c>
      <c r="H49" s="54"/>
      <c r="I49" s="54"/>
      <c r="J49" s="54"/>
    </row>
    <row r="50" spans="1:10" ht="45.75">
      <c r="A50" s="9"/>
      <c r="B50" s="9" t="s">
        <v>1161</v>
      </c>
      <c r="C50" s="9" t="s">
        <v>1162</v>
      </c>
      <c r="D50" s="55" t="s">
        <v>45</v>
      </c>
      <c r="E50" s="55" t="s">
        <v>1163</v>
      </c>
      <c r="F50" s="55"/>
      <c r="G50" s="12" t="s">
        <v>1108</v>
      </c>
      <c r="H50" s="54"/>
      <c r="I50" s="54"/>
      <c r="J50" s="54"/>
    </row>
    <row r="51" spans="1:10" ht="76.5">
      <c r="A51" s="9"/>
      <c r="B51" s="9" t="s">
        <v>1161</v>
      </c>
      <c r="C51" s="9" t="s">
        <v>1162</v>
      </c>
      <c r="D51" s="55" t="s">
        <v>46</v>
      </c>
      <c r="E51" s="55" t="s">
        <v>1164</v>
      </c>
      <c r="F51" s="55"/>
      <c r="G51" s="12" t="s">
        <v>1108</v>
      </c>
      <c r="H51" s="54"/>
      <c r="I51" s="54"/>
      <c r="J51" s="54"/>
    </row>
    <row r="52" spans="1:10">
      <c r="A52" s="55"/>
      <c r="B52" s="9" t="s">
        <v>1161</v>
      </c>
      <c r="C52" s="9" t="s">
        <v>1162</v>
      </c>
      <c r="D52" s="55" t="s">
        <v>47</v>
      </c>
      <c r="E52" s="55" t="s">
        <v>1165</v>
      </c>
      <c r="F52" s="55"/>
      <c r="G52" s="12" t="s">
        <v>1102</v>
      </c>
      <c r="H52" s="54"/>
      <c r="I52" s="54"/>
      <c r="J52" s="54"/>
    </row>
    <row r="53" spans="1:10" ht="60.75">
      <c r="A53" s="9"/>
      <c r="B53" s="9" t="s">
        <v>1161</v>
      </c>
      <c r="C53" s="9" t="s">
        <v>1162</v>
      </c>
      <c r="D53" s="55" t="s">
        <v>48</v>
      </c>
      <c r="E53" s="55" t="s">
        <v>1166</v>
      </c>
      <c r="F53" s="55"/>
      <c r="G53" s="12" t="s">
        <v>1108</v>
      </c>
      <c r="H53" s="54"/>
      <c r="I53" s="54"/>
      <c r="J53" s="54"/>
    </row>
    <row r="54" spans="1:10">
      <c r="A54" s="9"/>
      <c r="B54" s="55" t="s">
        <v>1161</v>
      </c>
      <c r="C54" s="9" t="s">
        <v>1162</v>
      </c>
      <c r="D54" s="55" t="s">
        <v>1167</v>
      </c>
      <c r="E54" s="55" t="s">
        <v>1168</v>
      </c>
      <c r="F54" s="55"/>
      <c r="G54" s="12" t="s">
        <v>1102</v>
      </c>
      <c r="H54" s="54"/>
      <c r="I54" s="54"/>
      <c r="J54" s="54"/>
    </row>
    <row r="55" spans="1:10" ht="91.5">
      <c r="A55" s="55"/>
      <c r="B55" s="9" t="s">
        <v>1161</v>
      </c>
      <c r="C55" s="9" t="s">
        <v>1162</v>
      </c>
      <c r="D55" s="55" t="s">
        <v>50</v>
      </c>
      <c r="E55" s="55" t="s">
        <v>1169</v>
      </c>
      <c r="F55" s="55"/>
      <c r="G55" s="55" t="s">
        <v>1170</v>
      </c>
      <c r="H55" s="54"/>
      <c r="I55" s="54"/>
      <c r="J55" s="54"/>
    </row>
    <row r="56" spans="1:10">
      <c r="A56" s="9"/>
      <c r="B56" s="9" t="s">
        <v>1161</v>
      </c>
      <c r="C56" s="9" t="s">
        <v>1162</v>
      </c>
      <c r="D56" s="9" t="s">
        <v>51</v>
      </c>
      <c r="E56" s="9" t="s">
        <v>1171</v>
      </c>
      <c r="F56" s="9"/>
      <c r="G56" s="12" t="s">
        <v>1102</v>
      </c>
      <c r="H56" s="54"/>
      <c r="I56" s="54"/>
      <c r="J56" s="54"/>
    </row>
    <row r="57" spans="1:10">
      <c r="A57" s="9"/>
      <c r="B57" s="9" t="s">
        <v>1161</v>
      </c>
      <c r="C57" s="9" t="s">
        <v>1162</v>
      </c>
      <c r="D57" s="55" t="s">
        <v>52</v>
      </c>
      <c r="E57" s="55" t="s">
        <v>1172</v>
      </c>
      <c r="F57" s="55"/>
      <c r="G57" s="12" t="s">
        <v>1108</v>
      </c>
      <c r="H57" s="54"/>
      <c r="I57" s="54"/>
      <c r="J57" s="54"/>
    </row>
    <row r="58" spans="1:10">
      <c r="A58" s="55"/>
      <c r="B58" s="9" t="s">
        <v>1173</v>
      </c>
      <c r="C58" s="9" t="s">
        <v>1174</v>
      </c>
      <c r="D58" s="55" t="s">
        <v>53</v>
      </c>
      <c r="E58" s="55" t="s">
        <v>1175</v>
      </c>
      <c r="F58" s="55"/>
      <c r="G58" s="55" t="s">
        <v>1170</v>
      </c>
      <c r="H58" s="54"/>
      <c r="I58" s="54"/>
      <c r="J58" s="54"/>
    </row>
    <row r="59" spans="1:10" ht="30.75">
      <c r="A59" s="9"/>
      <c r="B59" s="9" t="s">
        <v>1173</v>
      </c>
      <c r="C59" s="9" t="s">
        <v>1176</v>
      </c>
      <c r="D59" s="9" t="s">
        <v>54</v>
      </c>
      <c r="E59" s="9" t="s">
        <v>1177</v>
      </c>
      <c r="F59" s="9"/>
      <c r="G59" s="9" t="s">
        <v>1108</v>
      </c>
      <c r="H59" s="54"/>
      <c r="I59" s="54"/>
      <c r="J59" s="54"/>
    </row>
    <row r="60" spans="1:10">
      <c r="A60" s="9"/>
      <c r="B60" s="9" t="s">
        <v>1173</v>
      </c>
      <c r="C60" s="9" t="s">
        <v>1176</v>
      </c>
      <c r="D60" s="9" t="s">
        <v>55</v>
      </c>
      <c r="E60" s="9" t="s">
        <v>1178</v>
      </c>
      <c r="F60" s="9"/>
      <c r="G60" s="9" t="s">
        <v>1102</v>
      </c>
      <c r="H60" s="54"/>
      <c r="I60" s="54"/>
      <c r="J60" s="54"/>
    </row>
    <row r="61" spans="1:10">
      <c r="A61" s="55"/>
      <c r="B61" s="9" t="s">
        <v>1173</v>
      </c>
      <c r="C61" s="9" t="s">
        <v>1179</v>
      </c>
      <c r="D61" s="9" t="s">
        <v>57</v>
      </c>
      <c r="E61" s="9" t="s">
        <v>1180</v>
      </c>
      <c r="F61" s="9"/>
      <c r="G61" s="12" t="s">
        <v>1108</v>
      </c>
      <c r="H61" s="54"/>
      <c r="I61" s="54"/>
      <c r="J61" s="54"/>
    </row>
    <row r="62" spans="1:10">
      <c r="A62" s="9"/>
      <c r="B62" s="9" t="s">
        <v>1173</v>
      </c>
      <c r="C62" s="9" t="s">
        <v>1176</v>
      </c>
      <c r="D62" s="55" t="s">
        <v>1181</v>
      </c>
      <c r="E62" s="55" t="s">
        <v>1182</v>
      </c>
      <c r="F62" s="55"/>
      <c r="G62" s="12" t="s">
        <v>1108</v>
      </c>
      <c r="H62" s="54"/>
      <c r="I62" s="54"/>
      <c r="J62" s="54"/>
    </row>
    <row r="63" spans="1:10">
      <c r="A63" s="9"/>
      <c r="B63" s="55" t="s">
        <v>1173</v>
      </c>
      <c r="C63" s="55" t="s">
        <v>1183</v>
      </c>
      <c r="D63" s="55" t="s">
        <v>1184</v>
      </c>
      <c r="E63" s="55" t="s">
        <v>1185</v>
      </c>
      <c r="F63" s="55"/>
      <c r="G63" s="55" t="s">
        <v>1170</v>
      </c>
      <c r="H63" s="54"/>
      <c r="I63" s="54"/>
      <c r="J63" s="54"/>
    </row>
    <row r="64" spans="1:10">
      <c r="A64" s="55"/>
      <c r="B64" s="9" t="s">
        <v>1173</v>
      </c>
      <c r="C64" s="9" t="s">
        <v>1183</v>
      </c>
      <c r="D64" s="55" t="s">
        <v>1186</v>
      </c>
      <c r="E64" s="55" t="s">
        <v>1187</v>
      </c>
      <c r="F64" s="55"/>
      <c r="G64" s="55" t="s">
        <v>1170</v>
      </c>
      <c r="H64" s="54"/>
      <c r="I64" s="54"/>
      <c r="J64" s="54"/>
    </row>
    <row r="65" spans="1:10" ht="200.25">
      <c r="A65" s="9"/>
      <c r="B65" s="9" t="s">
        <v>1173</v>
      </c>
      <c r="C65" s="9" t="s">
        <v>1183</v>
      </c>
      <c r="D65" s="55" t="s">
        <v>1188</v>
      </c>
      <c r="E65" s="55" t="s">
        <v>1189</v>
      </c>
      <c r="F65" s="16" t="s">
        <v>1190</v>
      </c>
      <c r="G65" s="55" t="s">
        <v>1170</v>
      </c>
      <c r="H65" s="54"/>
      <c r="I65" s="54"/>
      <c r="J65" s="54"/>
    </row>
    <row r="66" spans="1:10" ht="30.75">
      <c r="A66" s="9"/>
      <c r="B66" s="9" t="s">
        <v>1173</v>
      </c>
      <c r="C66" s="9" t="s">
        <v>1176</v>
      </c>
      <c r="D66" s="9" t="s">
        <v>61</v>
      </c>
      <c r="E66" s="9" t="s">
        <v>1191</v>
      </c>
      <c r="F66" s="17"/>
      <c r="G66" s="9"/>
      <c r="H66" s="54"/>
      <c r="I66" s="54"/>
      <c r="J66" s="54"/>
    </row>
    <row r="67" spans="1:10" ht="30.75">
      <c r="A67" s="55"/>
      <c r="B67" s="9" t="s">
        <v>1173</v>
      </c>
      <c r="C67" s="9" t="s">
        <v>1176</v>
      </c>
      <c r="D67" s="9" t="s">
        <v>62</v>
      </c>
      <c r="E67" s="9" t="s">
        <v>1192</v>
      </c>
      <c r="F67" s="17"/>
      <c r="G67" s="9"/>
      <c r="H67" s="54"/>
      <c r="I67" s="54"/>
      <c r="J67" s="54"/>
    </row>
    <row r="68" spans="1:10">
      <c r="A68" s="9"/>
      <c r="B68" s="55" t="s">
        <v>1173</v>
      </c>
      <c r="C68" s="55" t="s">
        <v>1176</v>
      </c>
      <c r="D68" s="55" t="s">
        <v>1193</v>
      </c>
      <c r="E68" s="55" t="s">
        <v>1194</v>
      </c>
      <c r="F68" s="55"/>
      <c r="G68" s="9" t="s">
        <v>1102</v>
      </c>
      <c r="H68" s="54"/>
      <c r="I68" s="54"/>
      <c r="J68" s="54"/>
    </row>
    <row r="69" spans="1:10">
      <c r="A69" s="9"/>
      <c r="B69" s="9" t="s">
        <v>1173</v>
      </c>
      <c r="C69" s="9" t="s">
        <v>1179</v>
      </c>
      <c r="D69" s="55" t="s">
        <v>64</v>
      </c>
      <c r="E69" s="55" t="s">
        <v>1195</v>
      </c>
      <c r="F69" s="55"/>
      <c r="G69" s="9" t="s">
        <v>1102</v>
      </c>
      <c r="H69" s="54"/>
      <c r="I69" s="54"/>
      <c r="J69" s="54"/>
    </row>
    <row r="70" spans="1:10">
      <c r="A70" s="55"/>
      <c r="B70" s="9" t="s">
        <v>1173</v>
      </c>
      <c r="C70" s="9" t="s">
        <v>1183</v>
      </c>
      <c r="D70" s="55" t="s">
        <v>1196</v>
      </c>
      <c r="E70" s="55" t="s">
        <v>1197</v>
      </c>
      <c r="F70" s="55"/>
      <c r="G70" s="55" t="s">
        <v>1170</v>
      </c>
      <c r="H70" s="54"/>
      <c r="I70" s="54"/>
      <c r="J70" s="54"/>
    </row>
    <row r="71" spans="1:10">
      <c r="A71" s="9"/>
      <c r="B71" s="9" t="s">
        <v>1173</v>
      </c>
      <c r="C71" s="9" t="s">
        <v>1176</v>
      </c>
      <c r="D71" s="55" t="s">
        <v>66</v>
      </c>
      <c r="E71" s="55" t="s">
        <v>1198</v>
      </c>
      <c r="F71" s="55"/>
      <c r="G71" s="9" t="s">
        <v>1102</v>
      </c>
      <c r="H71" s="54"/>
      <c r="I71" s="54"/>
      <c r="J71" s="54"/>
    </row>
    <row r="72" spans="1:10" ht="30.75">
      <c r="A72" s="9"/>
      <c r="B72" s="9" t="s">
        <v>1199</v>
      </c>
      <c r="C72" s="9" t="s">
        <v>1176</v>
      </c>
      <c r="D72" s="9" t="s">
        <v>1200</v>
      </c>
      <c r="E72" s="9" t="s">
        <v>1201</v>
      </c>
      <c r="F72" s="9"/>
      <c r="G72" s="9"/>
      <c r="H72" s="54"/>
      <c r="I72" s="54"/>
      <c r="J72" s="54"/>
    </row>
    <row r="73" spans="1:10">
      <c r="A73" s="55"/>
      <c r="B73" s="9" t="s">
        <v>1199</v>
      </c>
      <c r="C73" s="9" t="s">
        <v>1176</v>
      </c>
      <c r="D73" s="9" t="s">
        <v>69</v>
      </c>
      <c r="E73" s="9" t="s">
        <v>1202</v>
      </c>
      <c r="F73" s="9"/>
      <c r="G73" s="9"/>
      <c r="H73" s="54"/>
      <c r="I73" s="54"/>
      <c r="J73" s="54"/>
    </row>
    <row r="74" spans="1:10">
      <c r="A74" s="9"/>
      <c r="B74" s="55" t="s">
        <v>1199</v>
      </c>
      <c r="C74" s="55" t="s">
        <v>1176</v>
      </c>
      <c r="D74" s="55" t="s">
        <v>70</v>
      </c>
      <c r="E74" s="55" t="s">
        <v>1203</v>
      </c>
      <c r="F74" s="55"/>
      <c r="G74" s="9" t="s">
        <v>1102</v>
      </c>
      <c r="H74" s="54"/>
      <c r="I74" s="54"/>
      <c r="J74" s="54"/>
    </row>
    <row r="75" spans="1:10">
      <c r="A75" s="9"/>
      <c r="B75" s="9" t="s">
        <v>1199</v>
      </c>
      <c r="C75" s="9" t="s">
        <v>1179</v>
      </c>
      <c r="D75" s="55" t="s">
        <v>71</v>
      </c>
      <c r="E75" s="55" t="s">
        <v>1195</v>
      </c>
      <c r="F75" s="55"/>
      <c r="G75" s="9" t="s">
        <v>1102</v>
      </c>
      <c r="H75" s="54"/>
      <c r="I75" s="54"/>
      <c r="J75" s="54"/>
    </row>
    <row r="76" spans="1:10">
      <c r="A76" s="55"/>
      <c r="B76" s="9" t="s">
        <v>1199</v>
      </c>
      <c r="C76" s="9" t="s">
        <v>1183</v>
      </c>
      <c r="D76" s="9" t="s">
        <v>1204</v>
      </c>
      <c r="E76" s="9" t="s">
        <v>1205</v>
      </c>
      <c r="F76" s="9"/>
      <c r="G76" s="9" t="s">
        <v>1170</v>
      </c>
      <c r="H76" s="54"/>
      <c r="I76" s="54"/>
      <c r="J76" s="54"/>
    </row>
    <row r="77" spans="1:10">
      <c r="A77" s="9"/>
      <c r="B77" s="55" t="s">
        <v>1199</v>
      </c>
      <c r="C77" s="55" t="s">
        <v>1183</v>
      </c>
      <c r="D77" s="9" t="s">
        <v>1206</v>
      </c>
      <c r="E77" s="9" t="s">
        <v>1207</v>
      </c>
      <c r="F77" s="9"/>
      <c r="G77" s="9" t="s">
        <v>1170</v>
      </c>
      <c r="H77" s="54"/>
      <c r="I77" s="54"/>
      <c r="J77" s="54"/>
    </row>
    <row r="78" spans="1:10">
      <c r="A78" s="9"/>
      <c r="B78" s="9" t="s">
        <v>1199</v>
      </c>
      <c r="C78" s="9" t="s">
        <v>1183</v>
      </c>
      <c r="D78" s="9" t="s">
        <v>1208</v>
      </c>
      <c r="E78" s="9" t="s">
        <v>1209</v>
      </c>
      <c r="F78" s="9"/>
      <c r="G78" s="9" t="s">
        <v>1102</v>
      </c>
      <c r="H78" s="54"/>
      <c r="I78" s="54"/>
      <c r="J78" s="54"/>
    </row>
    <row r="79" spans="1:10">
      <c r="A79" s="55"/>
      <c r="B79" s="9" t="s">
        <v>1199</v>
      </c>
      <c r="C79" s="9" t="s">
        <v>1183</v>
      </c>
      <c r="D79" s="55" t="s">
        <v>1210</v>
      </c>
      <c r="E79" s="55" t="s">
        <v>1211</v>
      </c>
      <c r="F79" s="55"/>
      <c r="G79" s="12" t="s">
        <v>1108</v>
      </c>
      <c r="H79" s="54"/>
      <c r="I79" s="54"/>
      <c r="J79" s="54"/>
    </row>
    <row r="80" spans="1:10">
      <c r="A80" s="9"/>
      <c r="B80" s="9" t="s">
        <v>1199</v>
      </c>
      <c r="C80" s="9" t="s">
        <v>1183</v>
      </c>
      <c r="D80" s="55" t="s">
        <v>1212</v>
      </c>
      <c r="E80" s="56" t="s">
        <v>1213</v>
      </c>
      <c r="F80" s="55"/>
      <c r="G80" s="9" t="s">
        <v>1170</v>
      </c>
      <c r="H80" s="54"/>
      <c r="I80" s="54"/>
      <c r="J80" s="54"/>
    </row>
    <row r="81" spans="1:10">
      <c r="A81" s="9"/>
      <c r="B81" s="9" t="s">
        <v>1199</v>
      </c>
      <c r="C81" s="9" t="s">
        <v>1183</v>
      </c>
      <c r="D81" s="55" t="s">
        <v>1214</v>
      </c>
      <c r="E81" s="55" t="s">
        <v>1215</v>
      </c>
      <c r="F81" s="55"/>
      <c r="G81" s="12" t="s">
        <v>1108</v>
      </c>
      <c r="H81" s="54"/>
      <c r="I81" s="54"/>
      <c r="J81" s="54"/>
    </row>
    <row r="82" spans="1:10">
      <c r="A82" s="55"/>
      <c r="B82" s="9"/>
      <c r="C82" s="9"/>
      <c r="D82" s="9" t="s">
        <v>1216</v>
      </c>
      <c r="E82" s="9" t="s">
        <v>1217</v>
      </c>
      <c r="F82" s="9"/>
      <c r="G82" s="9"/>
      <c r="H82" s="54"/>
      <c r="I82" s="54"/>
      <c r="J82" s="54"/>
    </row>
    <row r="83" spans="1:10">
      <c r="A83" s="9"/>
      <c r="B83" s="9"/>
      <c r="C83" s="9"/>
      <c r="D83" s="9" t="s">
        <v>79</v>
      </c>
      <c r="E83" s="9" t="s">
        <v>1218</v>
      </c>
      <c r="F83" s="9"/>
      <c r="G83" s="9"/>
      <c r="H83" s="54"/>
      <c r="I83" s="54"/>
      <c r="J83" s="54"/>
    </row>
    <row r="84" spans="1:10">
      <c r="A84" s="9"/>
      <c r="B84" s="55" t="s">
        <v>1219</v>
      </c>
      <c r="C84" s="55" t="s">
        <v>1176</v>
      </c>
      <c r="D84" s="55" t="s">
        <v>80</v>
      </c>
      <c r="E84" s="55" t="s">
        <v>1220</v>
      </c>
      <c r="F84" s="55"/>
      <c r="G84" s="9" t="s">
        <v>1102</v>
      </c>
      <c r="H84" s="54"/>
      <c r="I84" s="54"/>
      <c r="J84" s="54"/>
    </row>
    <row r="85" spans="1:10">
      <c r="A85" s="55"/>
      <c r="B85" s="9" t="s">
        <v>1219</v>
      </c>
      <c r="C85" s="9" t="s">
        <v>1179</v>
      </c>
      <c r="D85" s="55" t="s">
        <v>81</v>
      </c>
      <c r="E85" s="55" t="s">
        <v>1195</v>
      </c>
      <c r="F85" s="55"/>
      <c r="G85" s="9" t="s">
        <v>1102</v>
      </c>
      <c r="H85" s="54"/>
      <c r="I85" s="54"/>
      <c r="J85" s="54"/>
    </row>
    <row r="86" spans="1:10" ht="30.75">
      <c r="A86" s="9"/>
      <c r="B86" s="9" t="s">
        <v>1219</v>
      </c>
      <c r="C86" s="9" t="s">
        <v>1176</v>
      </c>
      <c r="D86" s="55" t="s">
        <v>82</v>
      </c>
      <c r="E86" s="55" t="s">
        <v>1221</v>
      </c>
      <c r="F86" s="55"/>
      <c r="G86" s="9" t="s">
        <v>1102</v>
      </c>
      <c r="H86" s="54"/>
      <c r="I86" s="54"/>
      <c r="J86" s="54"/>
    </row>
    <row r="87" spans="1:10">
      <c r="A87" s="9"/>
      <c r="B87" s="9" t="s">
        <v>1219</v>
      </c>
      <c r="C87" s="9" t="s">
        <v>1179</v>
      </c>
      <c r="D87" s="55" t="s">
        <v>83</v>
      </c>
      <c r="E87" s="55" t="s">
        <v>1222</v>
      </c>
      <c r="F87" s="55"/>
      <c r="G87" s="9" t="s">
        <v>1102</v>
      </c>
      <c r="H87" s="54"/>
      <c r="I87" s="54"/>
      <c r="J87" s="54"/>
    </row>
    <row r="88" spans="1:10" ht="30.75">
      <c r="A88" s="55"/>
      <c r="B88" s="9" t="s">
        <v>1219</v>
      </c>
      <c r="C88" s="9" t="s">
        <v>1176</v>
      </c>
      <c r="D88" s="55" t="s">
        <v>84</v>
      </c>
      <c r="E88" s="55" t="s">
        <v>1223</v>
      </c>
      <c r="F88" s="55"/>
      <c r="G88" s="9" t="s">
        <v>1102</v>
      </c>
      <c r="H88" s="54"/>
      <c r="I88" s="54"/>
      <c r="J88" s="54"/>
    </row>
    <row r="89" spans="1:10">
      <c r="A89" s="9"/>
      <c r="B89" s="55" t="s">
        <v>1219</v>
      </c>
      <c r="C89" s="55" t="s">
        <v>1179</v>
      </c>
      <c r="D89" s="55" t="s">
        <v>85</v>
      </c>
      <c r="E89" s="55" t="s">
        <v>1195</v>
      </c>
      <c r="F89" s="55"/>
      <c r="G89" s="9" t="s">
        <v>1102</v>
      </c>
      <c r="H89" s="54"/>
      <c r="I89" s="54"/>
      <c r="J89" s="54"/>
    </row>
    <row r="90" spans="1:10" ht="30.75">
      <c r="A90" s="9"/>
      <c r="B90" s="9" t="s">
        <v>1219</v>
      </c>
      <c r="C90" s="9" t="s">
        <v>1176</v>
      </c>
      <c r="D90" s="55" t="s">
        <v>86</v>
      </c>
      <c r="E90" s="55" t="s">
        <v>1224</v>
      </c>
      <c r="F90" s="55"/>
      <c r="G90" s="9" t="s">
        <v>1102</v>
      </c>
      <c r="H90" s="54"/>
      <c r="I90" s="54"/>
      <c r="J90" s="54"/>
    </row>
    <row r="91" spans="1:10">
      <c r="A91" s="55"/>
      <c r="B91" s="9" t="s">
        <v>1219</v>
      </c>
      <c r="C91" s="9" t="s">
        <v>1179</v>
      </c>
      <c r="D91" s="55" t="s">
        <v>87</v>
      </c>
      <c r="E91" s="55" t="s">
        <v>1222</v>
      </c>
      <c r="F91" s="55"/>
      <c r="G91" s="9" t="s">
        <v>1102</v>
      </c>
      <c r="H91" s="54"/>
      <c r="I91" s="54"/>
      <c r="J91" s="54"/>
    </row>
    <row r="92" spans="1:10">
      <c r="A92" s="9"/>
      <c r="B92" s="9" t="s">
        <v>1219</v>
      </c>
      <c r="C92" s="9" t="s">
        <v>1176</v>
      </c>
      <c r="D92" s="9" t="s">
        <v>88</v>
      </c>
      <c r="E92" s="55" t="s">
        <v>1225</v>
      </c>
      <c r="F92" s="9"/>
      <c r="G92" s="9" t="s">
        <v>1102</v>
      </c>
      <c r="H92" s="54"/>
      <c r="I92" s="54"/>
      <c r="J92" s="54"/>
    </row>
    <row r="93" spans="1:10">
      <c r="A93" s="9"/>
      <c r="B93" s="9" t="s">
        <v>1219</v>
      </c>
      <c r="C93" s="9" t="s">
        <v>1179</v>
      </c>
      <c r="D93" s="9" t="s">
        <v>1226</v>
      </c>
      <c r="E93" s="55" t="s">
        <v>1195</v>
      </c>
      <c r="F93" s="9"/>
      <c r="G93" s="9" t="s">
        <v>1102</v>
      </c>
      <c r="H93" s="54"/>
      <c r="I93" s="54"/>
      <c r="J93" s="54"/>
    </row>
    <row r="94" spans="1:10" ht="30.75">
      <c r="A94" s="55"/>
      <c r="B94" s="54" t="s">
        <v>1219</v>
      </c>
      <c r="C94" s="54" t="s">
        <v>1183</v>
      </c>
      <c r="D94" s="54" t="s">
        <v>90</v>
      </c>
      <c r="E94" s="9" t="s">
        <v>1227</v>
      </c>
      <c r="F94" s="9"/>
      <c r="G94" s="9" t="s">
        <v>1170</v>
      </c>
      <c r="H94" s="54"/>
      <c r="I94" s="54"/>
      <c r="J94" s="54"/>
    </row>
    <row r="95" spans="1:10" ht="30.75">
      <c r="A95" s="9"/>
      <c r="B95" s="10" t="s">
        <v>1219</v>
      </c>
      <c r="C95" s="10" t="s">
        <v>1183</v>
      </c>
      <c r="D95" s="54" t="s">
        <v>91</v>
      </c>
      <c r="E95" s="9" t="s">
        <v>1228</v>
      </c>
      <c r="F95" s="9"/>
      <c r="G95" s="9" t="s">
        <v>1170</v>
      </c>
      <c r="H95" s="54"/>
      <c r="I95" s="54"/>
      <c r="J95" s="54"/>
    </row>
    <row r="96" spans="1:10" ht="30.75">
      <c r="A96" s="9"/>
      <c r="B96" s="10" t="s">
        <v>1219</v>
      </c>
      <c r="C96" s="10" t="s">
        <v>1183</v>
      </c>
      <c r="D96" s="54" t="s">
        <v>92</v>
      </c>
      <c r="E96" s="9" t="s">
        <v>1229</v>
      </c>
      <c r="F96" s="9"/>
      <c r="G96" s="9" t="s">
        <v>1170</v>
      </c>
      <c r="H96" s="54"/>
      <c r="I96" s="54"/>
      <c r="J96" s="54"/>
    </row>
    <row r="97" spans="1:10" ht="30.75">
      <c r="A97" s="55"/>
      <c r="B97" s="10" t="s">
        <v>1219</v>
      </c>
      <c r="C97" s="10" t="s">
        <v>1183</v>
      </c>
      <c r="D97" s="54" t="s">
        <v>93</v>
      </c>
      <c r="E97" s="9" t="s">
        <v>1230</v>
      </c>
      <c r="F97" s="9"/>
      <c r="G97" s="9" t="s">
        <v>1170</v>
      </c>
      <c r="H97" s="54"/>
      <c r="I97" s="54"/>
      <c r="J97" s="54"/>
    </row>
    <row r="98" spans="1:10" ht="45.75">
      <c r="A98" s="9"/>
      <c r="B98" s="10" t="s">
        <v>1219</v>
      </c>
      <c r="C98" s="10" t="s">
        <v>1183</v>
      </c>
      <c r="D98" s="54" t="s">
        <v>1231</v>
      </c>
      <c r="E98" s="9" t="s">
        <v>1232</v>
      </c>
      <c r="F98" s="9"/>
      <c r="G98" s="9" t="s">
        <v>1170</v>
      </c>
      <c r="H98" s="54"/>
      <c r="I98" s="54"/>
      <c r="J98" s="54"/>
    </row>
    <row r="99" spans="1:10">
      <c r="A99" s="9"/>
      <c r="B99" s="57" t="s">
        <v>1233</v>
      </c>
      <c r="C99" s="57" t="s">
        <v>1176</v>
      </c>
      <c r="D99" s="15" t="s">
        <v>1234</v>
      </c>
      <c r="E99" s="9" t="s">
        <v>1191</v>
      </c>
      <c r="F99" s="9"/>
      <c r="G99" s="12" t="s">
        <v>1108</v>
      </c>
      <c r="H99" s="54"/>
      <c r="I99" s="54"/>
      <c r="J99" s="54"/>
    </row>
    <row r="100" spans="1:10">
      <c r="A100" s="55"/>
      <c r="B100" s="18" t="s">
        <v>1233</v>
      </c>
      <c r="C100" s="18" t="s">
        <v>1176</v>
      </c>
      <c r="D100" s="15" t="s">
        <v>96</v>
      </c>
      <c r="E100" s="9" t="s">
        <v>1192</v>
      </c>
      <c r="F100" s="9"/>
      <c r="G100" s="9" t="s">
        <v>1102</v>
      </c>
      <c r="H100" s="54"/>
      <c r="I100" s="54"/>
      <c r="J100" s="54"/>
    </row>
    <row r="101" spans="1:10">
      <c r="A101" s="9"/>
      <c r="B101" s="57" t="s">
        <v>1233</v>
      </c>
      <c r="C101" s="57" t="s">
        <v>1176</v>
      </c>
      <c r="D101" s="15" t="s">
        <v>1235</v>
      </c>
      <c r="E101" s="9" t="s">
        <v>1236</v>
      </c>
      <c r="F101" s="9"/>
      <c r="G101" s="9" t="s">
        <v>1102</v>
      </c>
      <c r="H101" s="54"/>
      <c r="I101" s="54"/>
      <c r="J101" s="54"/>
    </row>
    <row r="102" spans="1:10">
      <c r="A102" s="9"/>
      <c r="B102" s="18" t="s">
        <v>1233</v>
      </c>
      <c r="C102" s="18" t="s">
        <v>1179</v>
      </c>
      <c r="D102" s="15" t="s">
        <v>57</v>
      </c>
      <c r="E102" s="55" t="s">
        <v>1195</v>
      </c>
      <c r="F102" s="9"/>
      <c r="G102" s="9" t="s">
        <v>1102</v>
      </c>
      <c r="H102" s="54"/>
      <c r="I102" s="54"/>
      <c r="J102" s="54"/>
    </row>
    <row r="103" spans="1:10">
      <c r="A103" s="55"/>
      <c r="B103" s="57" t="s">
        <v>1233</v>
      </c>
      <c r="C103" s="58" t="s">
        <v>1183</v>
      </c>
      <c r="D103" s="19" t="s">
        <v>1237</v>
      </c>
      <c r="E103" s="9" t="s">
        <v>1238</v>
      </c>
      <c r="F103" s="9"/>
      <c r="G103" s="9" t="s">
        <v>1170</v>
      </c>
      <c r="H103" s="54"/>
      <c r="I103" s="54"/>
      <c r="J103" s="54"/>
    </row>
    <row r="104" spans="1:10">
      <c r="A104" s="9"/>
      <c r="B104" s="18" t="s">
        <v>1233</v>
      </c>
      <c r="C104" s="10" t="s">
        <v>1176</v>
      </c>
      <c r="D104" s="20" t="s">
        <v>1239</v>
      </c>
      <c r="E104" s="9" t="s">
        <v>1191</v>
      </c>
      <c r="F104" s="9"/>
      <c r="G104" s="12" t="s">
        <v>1108</v>
      </c>
      <c r="H104" s="54"/>
      <c r="I104" s="54"/>
      <c r="J104" s="54"/>
    </row>
    <row r="105" spans="1:10">
      <c r="A105" s="9"/>
      <c r="B105" s="57" t="s">
        <v>1233</v>
      </c>
      <c r="C105" s="54" t="s">
        <v>1176</v>
      </c>
      <c r="D105" s="20" t="s">
        <v>101</v>
      </c>
      <c r="E105" s="9" t="s">
        <v>1192</v>
      </c>
      <c r="F105" s="9"/>
      <c r="G105" s="9" t="s">
        <v>1102</v>
      </c>
      <c r="H105" s="54"/>
      <c r="I105" s="54"/>
      <c r="J105" s="54"/>
    </row>
    <row r="106" spans="1:10">
      <c r="A106" s="55"/>
      <c r="B106" s="18" t="s">
        <v>1233</v>
      </c>
      <c r="C106" s="10" t="s">
        <v>1176</v>
      </c>
      <c r="D106" s="20" t="s">
        <v>1240</v>
      </c>
      <c r="E106" s="9" t="s">
        <v>1236</v>
      </c>
      <c r="F106" s="9"/>
      <c r="G106" s="9" t="s">
        <v>1102</v>
      </c>
      <c r="H106" s="54"/>
      <c r="I106" s="54"/>
      <c r="J106" s="54"/>
    </row>
    <row r="107" spans="1:10">
      <c r="A107" s="9"/>
      <c r="B107" s="57" t="s">
        <v>1233</v>
      </c>
      <c r="C107" s="54" t="s">
        <v>1179</v>
      </c>
      <c r="D107" s="20" t="s">
        <v>57</v>
      </c>
      <c r="E107" s="55" t="s">
        <v>1195</v>
      </c>
      <c r="F107" s="9"/>
      <c r="G107" s="9" t="s">
        <v>1102</v>
      </c>
      <c r="H107" s="54"/>
      <c r="I107" s="54"/>
      <c r="J107" s="54"/>
    </row>
    <row r="108" spans="1:10">
      <c r="A108" s="9"/>
      <c r="B108" s="18" t="s">
        <v>1233</v>
      </c>
      <c r="C108" s="10" t="s">
        <v>1183</v>
      </c>
      <c r="D108" s="21" t="s">
        <v>1241</v>
      </c>
      <c r="E108" s="9" t="s">
        <v>1238</v>
      </c>
      <c r="F108" s="9"/>
      <c r="G108" s="9" t="s">
        <v>1170</v>
      </c>
      <c r="H108" s="54"/>
      <c r="I108" s="54"/>
      <c r="J108" s="54"/>
    </row>
    <row r="109" spans="1:10">
      <c r="A109" s="55"/>
      <c r="B109" s="57" t="s">
        <v>1233</v>
      </c>
      <c r="C109" s="54" t="s">
        <v>1176</v>
      </c>
      <c r="D109" s="20" t="s">
        <v>105</v>
      </c>
      <c r="E109" s="9" t="s">
        <v>1191</v>
      </c>
      <c r="F109" s="9"/>
      <c r="G109" s="12" t="s">
        <v>1108</v>
      </c>
      <c r="H109" s="54"/>
      <c r="I109" s="54"/>
      <c r="J109" s="54"/>
    </row>
    <row r="110" spans="1:10">
      <c r="A110" s="9"/>
      <c r="B110" s="18" t="s">
        <v>1233</v>
      </c>
      <c r="C110" s="10" t="s">
        <v>1176</v>
      </c>
      <c r="D110" s="20" t="s">
        <v>106</v>
      </c>
      <c r="E110" s="9" t="s">
        <v>1192</v>
      </c>
      <c r="F110" s="9"/>
      <c r="G110" s="9" t="s">
        <v>1102</v>
      </c>
      <c r="H110" s="54"/>
      <c r="I110" s="54"/>
      <c r="J110" s="54"/>
    </row>
    <row r="111" spans="1:10">
      <c r="A111" s="9"/>
      <c r="B111" s="57" t="s">
        <v>1233</v>
      </c>
      <c r="C111" s="54" t="s">
        <v>1176</v>
      </c>
      <c r="D111" s="20" t="s">
        <v>1242</v>
      </c>
      <c r="E111" s="9" t="s">
        <v>1236</v>
      </c>
      <c r="F111" s="9"/>
      <c r="G111" s="9" t="s">
        <v>1102</v>
      </c>
      <c r="H111" s="54"/>
      <c r="I111" s="54"/>
      <c r="J111" s="54"/>
    </row>
    <row r="112" spans="1:10">
      <c r="A112" s="55"/>
      <c r="B112" s="18" t="s">
        <v>1233</v>
      </c>
      <c r="C112" s="10" t="s">
        <v>1179</v>
      </c>
      <c r="D112" s="20" t="s">
        <v>57</v>
      </c>
      <c r="E112" s="55" t="s">
        <v>1195</v>
      </c>
      <c r="F112" s="9"/>
      <c r="G112" s="9" t="s">
        <v>1102</v>
      </c>
      <c r="H112" s="54"/>
      <c r="I112" s="54"/>
      <c r="J112" s="54"/>
    </row>
    <row r="113" spans="1:10">
      <c r="A113" s="9"/>
      <c r="B113" s="57" t="s">
        <v>1233</v>
      </c>
      <c r="C113" s="54" t="s">
        <v>1183</v>
      </c>
      <c r="D113" s="20" t="s">
        <v>1243</v>
      </c>
      <c r="E113" s="9" t="s">
        <v>1238</v>
      </c>
      <c r="F113" s="9"/>
      <c r="G113" s="9" t="s">
        <v>1170</v>
      </c>
      <c r="H113" s="54"/>
      <c r="I113" s="54"/>
      <c r="J113" s="54"/>
    </row>
    <row r="114" spans="1:10">
      <c r="A114" s="54"/>
      <c r="B114" s="54"/>
      <c r="C114" s="54"/>
      <c r="D114" s="54"/>
      <c r="E114" s="54"/>
      <c r="F114" s="54"/>
      <c r="G114" s="54"/>
      <c r="H114" s="54"/>
      <c r="I114" s="54"/>
      <c r="J114" s="54"/>
    </row>
  </sheetData>
  <mergeCells count="1">
    <mergeCell ref="A1:F3"/>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DEB4B5-E83C-41A5-926D-C61DBDA0DB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Otalora Low</dc:creator>
  <cp:keywords/>
  <dc:description/>
  <cp:lastModifiedBy>lviviana13</cp:lastModifiedBy>
  <cp:revision/>
  <dcterms:created xsi:type="dcterms:W3CDTF">2026-03-24T19:07:10Z</dcterms:created>
  <dcterms:modified xsi:type="dcterms:W3CDTF">2026-06-04T21:37:37Z</dcterms:modified>
  <cp:category/>
  <cp:contentStatus/>
</cp:coreProperties>
</file>